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 COT-2026-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0&quot;x&quot;"/>
    <numFmt numFmtId="166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95959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0"/>
    </font>
    <font>
      <name val="Calibri"/>
      <b val="1"/>
      <color rgb="009C0006"/>
      <sz val="10"/>
    </font>
    <font>
      <name val="Calibri"/>
      <i val="1"/>
      <color rgb="007F7F7F"/>
      <sz val="9"/>
    </font>
    <font>
      <name val="Calibri"/>
      <b val="1"/>
      <color rgb="00006100"/>
      <sz val="13"/>
    </font>
    <font>
      <name val="Calibri"/>
      <b val="1"/>
      <color rgb="00FFFFFF"/>
      <sz val="11"/>
    </font>
    <font>
      <name val="Calibri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375623"/>
        <bgColor rgb="00375623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164" fontId="6" fillId="0" borderId="1" pivotButton="0" quotePrefix="0" xfId="0"/>
    <xf numFmtId="165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5" fillId="4" borderId="1" pivotButton="0" quotePrefix="0" xfId="0"/>
    <xf numFmtId="164" fontId="8" fillId="4" borderId="1" pivotButton="0" quotePrefix="0" xfId="0"/>
    <xf numFmtId="165" fontId="8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pivotButton="0" quotePrefix="0" xfId="0"/>
    <xf numFmtId="0" fontId="5" fillId="5" borderId="1" pivotButton="0" quotePrefix="0" xfId="0"/>
    <xf numFmtId="165" fontId="7" fillId="5" borderId="1" applyAlignment="1" pivotButton="0" quotePrefix="0" xfId="0">
      <alignment horizontal="center" vertical="center"/>
    </xf>
    <xf numFmtId="164" fontId="7" fillId="5" borderId="1" pivotButton="0" quotePrefix="0" xfId="0"/>
    <xf numFmtId="0" fontId="9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4" fillId="3" borderId="1" applyAlignment="1" pivotButton="0" quotePrefix="0" xfId="0">
      <alignment horizontal="center" vertical="center"/>
    </xf>
    <xf numFmtId="0" fontId="9" fillId="0" borderId="1" pivotButton="0" quotePrefix="0" xfId="0"/>
    <xf numFmtId="0" fontId="9" fillId="5" borderId="1" pivotButton="0" quotePrefix="0" xfId="0"/>
    <xf numFmtId="0" fontId="8" fillId="4" borderId="1" pivotButton="0" quotePrefix="0" xfId="0"/>
    <xf numFmtId="0" fontId="7" fillId="7" borderId="1" pivotButton="0" quotePrefix="0" xfId="0"/>
    <xf numFmtId="0" fontId="5" fillId="7" borderId="1" pivotButton="0" quotePrefix="0" xfId="0"/>
    <xf numFmtId="164" fontId="7" fillId="7" borderId="1" pivotButton="0" quotePrefix="0" xfId="0"/>
    <xf numFmtId="0" fontId="10" fillId="8" borderId="1" pivotButton="0" quotePrefix="0" xfId="0"/>
    <xf numFmtId="164" fontId="10" fillId="8" borderId="1" pivotButton="0" quotePrefix="0" xfId="0"/>
    <xf numFmtId="0" fontId="5" fillId="8" borderId="1" pivotButton="0" quotePrefix="0" xfId="0"/>
    <xf numFmtId="0" fontId="11" fillId="8" borderId="1" pivotButton="0" quotePrefix="0" xfId="0"/>
    <xf numFmtId="0" fontId="5" fillId="6" borderId="1" pivotButton="0" quotePrefix="0" xfId="0"/>
    <xf numFmtId="166" fontId="7" fillId="6" borderId="1" pivotButton="0" quotePrefix="0" xfId="0"/>
    <xf numFmtId="0" fontId="9" fillId="6" borderId="1" pivotButton="0" quotePrefix="0" xfId="0"/>
    <xf numFmtId="0" fontId="8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8" fillId="7" borderId="1" pivotButton="0" quotePrefix="0" xfId="0"/>
    <xf numFmtId="164" fontId="8" fillId="7" borderId="1" pivotButton="0" quotePrefix="0" xfId="0"/>
    <xf numFmtId="0" fontId="7" fillId="10" borderId="1" pivotButton="0" quotePrefix="0" xfId="0"/>
    <xf numFmtId="164" fontId="7" fillId="10" borderId="1" pivotButton="0" quotePrefix="0" xfId="0"/>
    <xf numFmtId="0" fontId="5" fillId="10" borderId="1" pivotButton="0" quotePrefix="0" xfId="0"/>
    <xf numFmtId="0" fontId="7" fillId="6" borderId="1" pivotButton="0" quotePrefix="0" xfId="0"/>
    <xf numFmtId="0" fontId="12" fillId="8" borderId="0" applyAlignment="1" pivotButton="0" quotePrefix="0" xfId="0">
      <alignment horizontal="center" vertical="center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8" customWidth="1" min="7" max="7"/>
  </cols>
  <sheetData>
    <row r="1" ht="26" customHeight="1">
      <c r="A1" s="1" t="inlineStr">
        <is>
          <t>ABASTECER EMPRESARIAL S.A.S.</t>
        </is>
      </c>
    </row>
    <row r="2">
      <c r="A2" s="2" t="inlineStr">
        <is>
          <t>Primera venta · COT-2026-012 · Cliente: EVOLTI COMPANY SAS BIC · 29/07/2026</t>
        </is>
      </c>
    </row>
    <row r="4" ht="22" customHeight="1">
      <c r="A4" s="3" t="inlineStr">
        <is>
          <t>1.  EL NEGOCIO EN UNA SOLA TABLA — PRECIO DE COMPRA vs PRECIO DE VENTA</t>
        </is>
      </c>
      <c r="B4" s="4" t="n"/>
      <c r="C4" s="4" t="n"/>
      <c r="D4" s="4" t="n"/>
      <c r="E4" s="4" t="n"/>
      <c r="F4" s="4" t="n"/>
      <c r="G4" s="4" t="n"/>
    </row>
    <row r="5" ht="32" customHeight="1">
      <c r="A5" s="5" t="inlineStr">
        <is>
          <t>Producto</t>
        </is>
      </c>
      <c r="B5" s="5" t="inlineStr">
        <is>
          <t>Compramos a
(c/u sin IVA)</t>
        </is>
      </c>
      <c r="C5" s="5" t="inlineStr">
        <is>
          <t>Vendemos a
(c/u sin IVA)</t>
        </is>
      </c>
      <c r="D5" s="5" t="inlineStr">
        <is>
          <t>Ganamos
(c/u)</t>
        </is>
      </c>
      <c r="E5" s="5" t="inlineStr">
        <is>
          <t>Multiplicador</t>
        </is>
      </c>
      <c r="F5" s="5" t="inlineStr">
        <is>
          <t>Cantidad</t>
        </is>
      </c>
      <c r="G5" s="5" t="inlineStr">
        <is>
          <t>Ganancia total</t>
        </is>
      </c>
    </row>
    <row r="6">
      <c r="A6" s="6" t="inlineStr">
        <is>
          <t>CANASTILLA PEQUEÑA 31x20x11</t>
        </is>
      </c>
      <c r="B6" s="7" t="n">
        <v>3277</v>
      </c>
      <c r="C6" s="7" t="n">
        <v>8000</v>
      </c>
      <c r="D6" s="8" t="n">
        <v>4723</v>
      </c>
      <c r="E6" s="9" t="n">
        <v>2.44</v>
      </c>
      <c r="F6" s="10" t="n">
        <v>60</v>
      </c>
      <c r="G6" s="8" t="n">
        <v>283361</v>
      </c>
    </row>
    <row r="7">
      <c r="A7" s="6" t="inlineStr">
        <is>
          <t>CANASTILLA LISA 60x40x25</t>
        </is>
      </c>
      <c r="B7" s="7" t="n">
        <v>20000</v>
      </c>
      <c r="C7" s="7" t="n">
        <v>38000</v>
      </c>
      <c r="D7" s="8" t="n">
        <v>18000</v>
      </c>
      <c r="E7" s="9" t="n">
        <v>1.9</v>
      </c>
      <c r="F7" s="10" t="n">
        <v>20</v>
      </c>
      <c r="G7" s="8" t="n">
        <v>360000</v>
      </c>
    </row>
    <row r="8">
      <c r="A8" s="11" t="inlineStr">
        <is>
          <t>FLETE / TRANSPORTE</t>
        </is>
      </c>
      <c r="B8" s="12" t="n">
        <v>60000</v>
      </c>
      <c r="C8" s="12" t="n">
        <v>40000</v>
      </c>
      <c r="D8" s="13" t="n">
        <v>-20000</v>
      </c>
      <c r="E8" s="14" t="n">
        <v>0.67</v>
      </c>
      <c r="F8" s="15" t="n">
        <v>1</v>
      </c>
      <c r="G8" s="13" t="n">
        <v>-20000</v>
      </c>
    </row>
    <row r="9">
      <c r="A9" s="16" t="inlineStr">
        <is>
          <t>TOTAL</t>
        </is>
      </c>
      <c r="B9" s="17" t="inlineStr"/>
      <c r="C9" s="17" t="inlineStr"/>
      <c r="D9" s="17" t="inlineStr"/>
      <c r="E9" s="18" t="n">
        <v>1.95</v>
      </c>
      <c r="F9" s="17" t="inlineStr"/>
      <c r="G9" s="19" t="n">
        <v>623361</v>
      </c>
    </row>
    <row r="10">
      <c r="A10" s="20" t="inlineStr">
        <is>
          <t>Cómo leerlo: la canastilla pequeña la compramos a $3.277 y la vendimos a $8.000 → por cada peso invertido recuperamos $2,44. El flete es el único que dio pérdida.</t>
        </is>
      </c>
      <c r="B10" s="21" t="n"/>
      <c r="C10" s="21" t="n"/>
      <c r="D10" s="21" t="n"/>
      <c r="E10" s="21" t="n"/>
      <c r="F10" s="21" t="n"/>
      <c r="G10" s="21" t="n"/>
    </row>
    <row r="12" ht="22" customHeight="1">
      <c r="A12" s="3" t="inlineStr">
        <is>
          <t>2.  LO QUE LE VENDIMOS AL CLIENTE</t>
        </is>
      </c>
      <c r="B12" s="4" t="n"/>
      <c r="C12" s="4" t="n"/>
      <c r="D12" s="4" t="n"/>
      <c r="E12" s="4" t="n"/>
      <c r="F12" s="4" t="n"/>
      <c r="G12" s="4" t="n"/>
    </row>
    <row r="13">
      <c r="A13" s="22" t="inlineStr">
        <is>
          <t>Producto</t>
        </is>
      </c>
      <c r="B13" s="22" t="inlineStr">
        <is>
          <t>Cantidad</t>
        </is>
      </c>
      <c r="C13" s="22" t="inlineStr">
        <is>
          <t>Precio unit.</t>
        </is>
      </c>
      <c r="D13" s="22" t="inlineStr">
        <is>
          <t>Subtotal</t>
        </is>
      </c>
      <c r="E13" s="22" t="inlineStr">
        <is>
          <t>IVA 19%</t>
        </is>
      </c>
      <c r="F13" s="22" t="inlineStr">
        <is>
          <t>Total</t>
        </is>
      </c>
      <c r="G13" s="22" t="inlineStr">
        <is>
          <t>Nota</t>
        </is>
      </c>
    </row>
    <row r="14">
      <c r="A14" s="6" t="inlineStr">
        <is>
          <t>CANASTILLA PEQUEÑA</t>
        </is>
      </c>
      <c r="B14" s="10" t="n">
        <v>60</v>
      </c>
      <c r="C14" s="7" t="n">
        <v>8000</v>
      </c>
      <c r="D14" s="7" t="n">
        <v>480000</v>
      </c>
      <c r="E14" s="7" t="n">
        <v>91200</v>
      </c>
      <c r="F14" s="7" t="n">
        <v>571200</v>
      </c>
      <c r="G14" s="23" t="inlineStr">
        <is>
          <t>Producto más rentable</t>
        </is>
      </c>
    </row>
    <row r="15">
      <c r="A15" s="6" t="inlineStr">
        <is>
          <t>CANASTILLA LISA</t>
        </is>
      </c>
      <c r="B15" s="10" t="n">
        <v>20</v>
      </c>
      <c r="C15" s="7" t="n">
        <v>38000</v>
      </c>
      <c r="D15" s="7" t="n">
        <v>760000</v>
      </c>
      <c r="E15" s="7" t="n">
        <v>144400</v>
      </c>
      <c r="F15" s="7" t="n">
        <v>904400</v>
      </c>
      <c r="G15" s="23" t="inlineStr">
        <is>
          <t>Mayor valor de la venta</t>
        </is>
      </c>
    </row>
    <row r="16">
      <c r="A16" s="6" t="inlineStr">
        <is>
          <t>FLETE / TRANSPORTE</t>
        </is>
      </c>
      <c r="B16" s="10" t="n">
        <v>1</v>
      </c>
      <c r="C16" s="7" t="n">
        <v>40000</v>
      </c>
      <c r="D16" s="7" t="n">
        <v>40000</v>
      </c>
      <c r="E16" s="7" t="n">
        <v>7600</v>
      </c>
      <c r="F16" s="7" t="n">
        <v>47600</v>
      </c>
      <c r="G16" s="23" t="inlineStr">
        <is>
          <t>Cobramos menos de lo que costó</t>
        </is>
      </c>
    </row>
    <row r="17">
      <c r="A17" s="16" t="inlineStr">
        <is>
          <t>SUBTOTAL (base sin IVA)</t>
        </is>
      </c>
      <c r="B17" s="17" t="inlineStr"/>
      <c r="C17" s="17" t="inlineStr"/>
      <c r="D17" s="19" t="n">
        <v>1280000</v>
      </c>
      <c r="E17" s="19" t="n">
        <v>243200</v>
      </c>
      <c r="F17" s="19" t="n">
        <v>1523200</v>
      </c>
      <c r="G17" s="24" t="inlineStr">
        <is>
          <t>Sobre el subtotal se calcula la utilidad</t>
        </is>
      </c>
    </row>
    <row r="19" ht="22" customHeight="1">
      <c r="A19" s="3" t="inlineStr">
        <is>
          <t>3.  LO QUE NOS COSTÓ — COMPRAS Y FLETE</t>
        </is>
      </c>
      <c r="B19" s="4" t="n"/>
      <c r="C19" s="4" t="n"/>
      <c r="D19" s="4" t="n"/>
      <c r="E19" s="4" t="n"/>
      <c r="F19" s="4" t="n"/>
      <c r="G19" s="4" t="n"/>
    </row>
    <row r="20">
      <c r="A20" s="22" t="inlineStr">
        <is>
          <t>Proveedor / Concepto</t>
        </is>
      </c>
      <c r="B20" s="22" t="inlineStr">
        <is>
          <t>Cantidad</t>
        </is>
      </c>
      <c r="C20" s="22" t="inlineStr">
        <is>
          <t>Costo unit.</t>
        </is>
      </c>
      <c r="D20" s="22" t="inlineStr">
        <is>
          <t>Subtotal</t>
        </is>
      </c>
      <c r="E20" s="22" t="inlineStr">
        <is>
          <t>IVA pagado</t>
        </is>
      </c>
      <c r="F20" s="22" t="inlineStr">
        <is>
          <t>Total pagado</t>
        </is>
      </c>
      <c r="G20" s="22" t="inlineStr">
        <is>
          <t>Soporte</t>
        </is>
      </c>
    </row>
    <row r="21">
      <c r="A21" s="6" t="inlineStr">
        <is>
          <t>EL PALACIO DEL HOGAR — canastilla pequeña</t>
        </is>
      </c>
      <c r="B21" s="10" t="n">
        <v>60</v>
      </c>
      <c r="C21" s="7" t="n">
        <v>3277</v>
      </c>
      <c r="D21" s="7" t="n">
        <v>196639</v>
      </c>
      <c r="E21" s="7" t="n">
        <v>37361</v>
      </c>
      <c r="F21" s="7" t="n">
        <v>234000</v>
      </c>
      <c r="G21" s="23" t="inlineStr">
        <is>
          <t>Factura FCJC1119</t>
        </is>
      </c>
    </row>
    <row r="22">
      <c r="A22" s="6" t="inlineStr">
        <is>
          <t>LA BODEGA DEL TARRO — canastilla lisa</t>
        </is>
      </c>
      <c r="B22" s="10" t="n">
        <v>20</v>
      </c>
      <c r="C22" s="7" t="n">
        <v>20000</v>
      </c>
      <c r="D22" s="7" t="n">
        <v>400000</v>
      </c>
      <c r="E22" s="7" t="n">
        <v>76000</v>
      </c>
      <c r="F22" s="7" t="n">
        <v>476000</v>
      </c>
      <c r="G22" s="23" t="inlineStr">
        <is>
          <t>Factura FEHA202</t>
        </is>
      </c>
    </row>
    <row r="23">
      <c r="A23" s="11" t="inlineStr">
        <is>
          <t>SEÑOR DEL CAMIÓN — flete</t>
        </is>
      </c>
      <c r="B23" s="15" t="n">
        <v>1</v>
      </c>
      <c r="C23" s="12" t="n">
        <v>60000</v>
      </c>
      <c r="D23" s="12" t="n">
        <v>60000</v>
      </c>
      <c r="E23" s="12" t="n">
        <v>0</v>
      </c>
      <c r="F23" s="12" t="n">
        <v>60000</v>
      </c>
      <c r="G23" s="25" t="inlineStr">
        <is>
          <t>SIN SOPORTE — pendiente doc. soporte</t>
        </is>
      </c>
    </row>
    <row r="24">
      <c r="A24" s="26" t="inlineStr">
        <is>
          <t>TOTAL COSTOS</t>
        </is>
      </c>
      <c r="B24" s="27" t="inlineStr"/>
      <c r="C24" s="27" t="inlineStr"/>
      <c r="D24" s="28" t="n">
        <v>656639</v>
      </c>
      <c r="E24" s="28" t="n">
        <v>113361</v>
      </c>
      <c r="F24" s="28" t="n">
        <v>770000</v>
      </c>
      <c r="G24" s="27" t="inlineStr"/>
    </row>
    <row r="26" ht="22" customHeight="1">
      <c r="A26" s="3" t="inlineStr">
        <is>
          <t>4.  ¿CUÁNTO GANAMOS REALMENTE?</t>
        </is>
      </c>
      <c r="B26" s="4" t="n"/>
      <c r="C26" s="4" t="n"/>
      <c r="D26" s="4" t="n"/>
      <c r="E26" s="4" t="n"/>
      <c r="F26" s="4" t="n"/>
      <c r="G26" s="4" t="n"/>
    </row>
    <row r="27">
      <c r="A27" s="22" t="inlineStr">
        <is>
          <t>Concepto</t>
        </is>
      </c>
      <c r="B27" s="22" t="inlineStr">
        <is>
          <t>Valor</t>
        </is>
      </c>
      <c r="C27" s="22" t="inlineStr"/>
      <c r="D27" s="22" t="inlineStr"/>
      <c r="E27" s="22" t="inlineStr"/>
      <c r="F27" s="22" t="inlineStr"/>
      <c r="G27" s="22" t="inlineStr">
        <is>
          <t>Explicación</t>
        </is>
      </c>
    </row>
    <row r="28">
      <c r="A28" s="6" t="inlineStr">
        <is>
          <t>Total vendido (sin IVA)</t>
        </is>
      </c>
      <c r="B28" s="7" t="n">
        <v>1280000</v>
      </c>
      <c r="C28" s="6" t="inlineStr"/>
      <c r="D28" s="6" t="inlineStr"/>
      <c r="E28" s="6" t="inlineStr"/>
      <c r="F28" s="6" t="inlineStr"/>
      <c r="G28" s="23" t="inlineStr">
        <is>
          <t>Productos + flete cobrados al cliente</t>
        </is>
      </c>
    </row>
    <row r="29">
      <c r="A29" s="6" t="inlineStr">
        <is>
          <t>(-) Total pagado (sin IVA)</t>
        </is>
      </c>
      <c r="B29" s="7" t="n">
        <v>-656639</v>
      </c>
      <c r="C29" s="6" t="inlineStr"/>
      <c r="D29" s="6" t="inlineStr"/>
      <c r="E29" s="6" t="inlineStr"/>
      <c r="F29" s="6" t="inlineStr"/>
      <c r="G29" s="23" t="inlineStr">
        <is>
          <t>Compras + flete que pagamos</t>
        </is>
      </c>
    </row>
    <row r="30">
      <c r="A30" s="16">
        <f> UTILIDAD BRUTA</f>
        <v/>
      </c>
      <c r="B30" s="19" t="n">
        <v>623361</v>
      </c>
      <c r="C30" s="17" t="inlineStr"/>
      <c r="D30" s="17" t="inlineStr"/>
      <c r="E30" s="17" t="inlineStr"/>
      <c r="F30" s="17" t="inlineStr"/>
      <c r="G30" s="16" t="inlineStr">
        <is>
          <t>48,7% de la venta</t>
        </is>
      </c>
    </row>
    <row r="31">
      <c r="A31" s="6" t="inlineStr">
        <is>
          <t>(-) Impuesto Simple 5%</t>
        </is>
      </c>
      <c r="B31" s="7" t="n">
        <v>-64000</v>
      </c>
      <c r="C31" s="6" t="inlineStr"/>
      <c r="D31" s="6" t="inlineStr"/>
      <c r="E31" s="6" t="inlineStr"/>
      <c r="F31" s="6" t="inlineStr"/>
      <c r="G31" s="23" t="inlineStr">
        <is>
          <t>5% x $1.280.000 — nuestro régimen</t>
        </is>
      </c>
    </row>
    <row r="32" ht="22" customHeight="1">
      <c r="A32" s="29">
        <f> UTILIDAD NETA</f>
        <v/>
      </c>
      <c r="B32" s="30" t="n">
        <v>559361</v>
      </c>
      <c r="C32" s="31" t="inlineStr"/>
      <c r="D32" s="31" t="inlineStr"/>
      <c r="E32" s="31" t="inlineStr"/>
      <c r="F32" s="31" t="inlineStr"/>
      <c r="G32" s="32" t="inlineStr">
        <is>
          <t>La plata que queda para los socios</t>
        </is>
      </c>
    </row>
    <row r="33">
      <c r="A33" s="33" t="inlineStr">
        <is>
          <t>Margen neto</t>
        </is>
      </c>
      <c r="B33" s="34" t="n">
        <v>0.437</v>
      </c>
      <c r="C33" s="33" t="inlineStr"/>
      <c r="D33" s="33" t="inlineStr"/>
      <c r="E33" s="33" t="inlineStr"/>
      <c r="F33" s="33" t="inlineStr"/>
      <c r="G33" s="35" t="inlineStr">
        <is>
          <t>De cada $100 vendidos quedan $43,70</t>
        </is>
      </c>
    </row>
    <row r="35" ht="22" customHeight="1">
      <c r="A35" s="3" t="inlineStr">
        <is>
          <t>5.  EL IVA — DINERO QUE NO ES NUESTRO</t>
        </is>
      </c>
      <c r="B35" s="4" t="n"/>
      <c r="C35" s="4" t="n"/>
      <c r="D35" s="4" t="n"/>
      <c r="E35" s="4" t="n"/>
      <c r="F35" s="4" t="n"/>
      <c r="G35" s="4" t="n"/>
    </row>
    <row r="36">
      <c r="A36" s="36" t="inlineStr">
        <is>
          <t>El IVA no suma ni resta a la utilidad. Solo lo recogemos del cliente y se lo entregamos a la DIAN.</t>
        </is>
      </c>
      <c r="B36" s="37" t="n"/>
      <c r="C36" s="37" t="n"/>
      <c r="D36" s="37" t="n"/>
      <c r="E36" s="37" t="n"/>
      <c r="F36" s="37" t="n"/>
      <c r="G36" s="37" t="n"/>
    </row>
    <row r="37">
      <c r="A37" s="22" t="inlineStr">
        <is>
          <t>Concepto</t>
        </is>
      </c>
      <c r="B37" s="22" t="inlineStr">
        <is>
          <t>Valor</t>
        </is>
      </c>
      <c r="C37" s="22" t="inlineStr"/>
      <c r="D37" s="22" t="inlineStr"/>
      <c r="E37" s="22" t="inlineStr"/>
      <c r="F37" s="22" t="inlineStr"/>
      <c r="G37" s="22" t="inlineStr">
        <is>
          <t>Detalle</t>
        </is>
      </c>
    </row>
    <row r="38">
      <c r="A38" s="6" t="inlineStr">
        <is>
          <t>IVA cobrado al cliente</t>
        </is>
      </c>
      <c r="B38" s="7" t="n">
        <v>243200</v>
      </c>
      <c r="C38" s="6" t="inlineStr"/>
      <c r="D38" s="6" t="inlineStr"/>
      <c r="E38" s="6" t="inlineStr"/>
      <c r="F38" s="6" t="inlineStr"/>
      <c r="G38" s="23" t="inlineStr">
        <is>
          <t>19% sobre $1.280.000</t>
        </is>
      </c>
    </row>
    <row r="39">
      <c r="A39" s="6" t="inlineStr">
        <is>
          <t>(-) IVA pagado a proveedores</t>
        </is>
      </c>
      <c r="B39" s="7" t="n">
        <v>-113361</v>
      </c>
      <c r="C39" s="6" t="inlineStr"/>
      <c r="D39" s="6" t="inlineStr"/>
      <c r="E39" s="6" t="inlineStr"/>
      <c r="F39" s="6" t="inlineStr"/>
      <c r="G39" s="23" t="inlineStr">
        <is>
          <t>Palacio $37.361 + Bodega $76.000 + Flete $0</t>
        </is>
      </c>
    </row>
    <row r="40">
      <c r="A40" s="38">
        <f> IVA A PAGAR A LA DIAN</f>
        <v/>
      </c>
      <c r="B40" s="39" t="n">
        <v>129839</v>
      </c>
      <c r="C40" s="27" t="inlineStr"/>
      <c r="D40" s="27" t="inlineStr"/>
      <c r="E40" s="27" t="inlineStr"/>
      <c r="F40" s="27" t="inlineStr"/>
      <c r="G40" s="38" t="inlineStr">
        <is>
          <t>SEPARAR YA en cuenta aparte</t>
        </is>
      </c>
    </row>
    <row r="41">
      <c r="A41" s="20" t="inlineStr">
        <is>
          <t>Al señor del camión no le pagamos IVA, así que los $7.600 de IVA del flete van completos a la DIAN.</t>
        </is>
      </c>
      <c r="B41" s="21" t="n"/>
      <c r="C41" s="21" t="n"/>
      <c r="D41" s="21" t="n"/>
      <c r="E41" s="21" t="n"/>
      <c r="F41" s="21" t="n"/>
      <c r="G41" s="21" t="n"/>
    </row>
    <row r="43" ht="22" customHeight="1">
      <c r="A43" s="3" t="inlineStr">
        <is>
          <t>6.  FLUJO DE CAJA — QUÉ ENTRA Y QUÉ SALE</t>
        </is>
      </c>
      <c r="B43" s="4" t="n"/>
      <c r="C43" s="4" t="n"/>
      <c r="D43" s="4" t="n"/>
      <c r="E43" s="4" t="n"/>
      <c r="F43" s="4" t="n"/>
      <c r="G43" s="4" t="n"/>
    </row>
    <row r="44">
      <c r="A44" s="22" t="inlineStr">
        <is>
          <t>Movimiento</t>
        </is>
      </c>
      <c r="B44" s="22" t="inlineStr">
        <is>
          <t>Valor</t>
        </is>
      </c>
      <c r="C44" s="22" t="inlineStr"/>
      <c r="D44" s="22" t="inlineStr"/>
      <c r="E44" s="22" t="inlineStr"/>
      <c r="F44" s="22" t="inlineStr"/>
      <c r="G44" s="22" t="inlineStr">
        <is>
          <t>Comentario</t>
        </is>
      </c>
    </row>
    <row r="45">
      <c r="A45" s="6" t="inlineStr">
        <is>
          <t>Nos paga Evolti (total factura)</t>
        </is>
      </c>
      <c r="B45" s="7" t="n">
        <v>1523200</v>
      </c>
      <c r="C45" s="6" t="inlineStr"/>
      <c r="D45" s="6" t="inlineStr"/>
      <c r="E45" s="6" t="inlineStr"/>
      <c r="F45" s="6" t="inlineStr"/>
      <c r="G45" s="23" t="inlineStr">
        <is>
          <t>Incluye el IVA que luego entregamos</t>
        </is>
      </c>
    </row>
    <row r="46">
      <c r="A46" s="6" t="inlineStr">
        <is>
          <t>(-) Retención del cliente</t>
        </is>
      </c>
      <c r="B46" s="7" t="n">
        <v>-36480</v>
      </c>
      <c r="C46" s="6" t="inlineStr"/>
      <c r="D46" s="6" t="inlineStr"/>
      <c r="E46" s="6" t="inlineStr"/>
      <c r="F46" s="6" t="inlineStr"/>
      <c r="G46" s="23" t="inlineStr">
        <is>
          <t>NO es pérdida: anticipo del impuesto Simple</t>
        </is>
      </c>
    </row>
    <row r="47">
      <c r="A47" s="40">
        <f> Entra realmente a Bold</f>
        <v/>
      </c>
      <c r="B47" s="41" t="n">
        <v>1486720</v>
      </c>
      <c r="C47" s="42" t="inlineStr"/>
      <c r="D47" s="42" t="inlineStr"/>
      <c r="E47" s="42" t="inlineStr"/>
      <c r="F47" s="42" t="inlineStr"/>
      <c r="G47" s="40" t="inlineStr"/>
    </row>
    <row r="48">
      <c r="A48" s="6" t="inlineStr">
        <is>
          <t>(-) Pago El Palacio del Hogar</t>
        </is>
      </c>
      <c r="B48" s="7" t="n">
        <v>-234000</v>
      </c>
      <c r="C48" s="6" t="inlineStr"/>
      <c r="D48" s="6" t="inlineStr"/>
      <c r="E48" s="6" t="inlineStr"/>
      <c r="F48" s="6" t="inlineStr"/>
      <c r="G48" s="23" t="inlineStr"/>
    </row>
    <row r="49">
      <c r="A49" s="6" t="inlineStr">
        <is>
          <t>(-) Pago La Bodega del Tarro</t>
        </is>
      </c>
      <c r="B49" s="7" t="n">
        <v>-476000</v>
      </c>
      <c r="C49" s="6" t="inlineStr"/>
      <c r="D49" s="6" t="inlineStr"/>
      <c r="E49" s="6" t="inlineStr"/>
      <c r="F49" s="6" t="inlineStr"/>
      <c r="G49" s="23" t="inlineStr"/>
    </row>
    <row r="50">
      <c r="A50" s="6" t="inlineStr">
        <is>
          <t>(-) Pago flete</t>
        </is>
      </c>
      <c r="B50" s="7" t="n">
        <v>-60000</v>
      </c>
      <c r="C50" s="6" t="inlineStr"/>
      <c r="D50" s="6" t="inlineStr"/>
      <c r="E50" s="6" t="inlineStr"/>
      <c r="F50" s="6" t="inlineStr"/>
      <c r="G50" s="23" t="inlineStr"/>
    </row>
    <row r="51">
      <c r="A51" s="40">
        <f> Queda en la cuenta</f>
        <v/>
      </c>
      <c r="B51" s="41" t="n">
        <v>716720</v>
      </c>
      <c r="C51" s="42" t="inlineStr"/>
      <c r="D51" s="42" t="inlineStr"/>
      <c r="E51" s="42" t="inlineStr"/>
      <c r="F51" s="42" t="inlineStr"/>
      <c r="G51" s="40" t="inlineStr">
        <is>
          <t>Falta separar impuestos</t>
        </is>
      </c>
    </row>
    <row r="52">
      <c r="A52" s="38" t="inlineStr">
        <is>
          <t>(-) IVA para la DIAN</t>
        </is>
      </c>
      <c r="B52" s="39" t="n">
        <v>-129839</v>
      </c>
      <c r="C52" s="27" t="inlineStr"/>
      <c r="D52" s="27" t="inlineStr"/>
      <c r="E52" s="27" t="inlineStr"/>
      <c r="F52" s="27" t="inlineStr"/>
      <c r="G52" s="38" t="inlineStr">
        <is>
          <t>Guardar aparte, no tocar</t>
        </is>
      </c>
    </row>
    <row r="53">
      <c r="A53" s="38" t="inlineStr">
        <is>
          <t>(-) Impuesto Simple pendiente</t>
        </is>
      </c>
      <c r="B53" s="39" t="n">
        <v>-27520</v>
      </c>
      <c r="C53" s="27" t="inlineStr"/>
      <c r="D53" s="27" t="inlineStr"/>
      <c r="E53" s="27" t="inlineStr"/>
      <c r="F53" s="27" t="inlineStr"/>
      <c r="G53" s="38" t="inlineStr">
        <is>
          <t>$64.000 obligación - $36.480 retenido</t>
        </is>
      </c>
    </row>
    <row r="54" ht="22" customHeight="1">
      <c r="A54" s="29">
        <f> CAJA LIBRE PARA LOS SOCIOS</f>
        <v/>
      </c>
      <c r="B54" s="30" t="n">
        <v>559361</v>
      </c>
      <c r="C54" s="31" t="inlineStr"/>
      <c r="D54" s="31" t="inlineStr"/>
      <c r="E54" s="31" t="inlineStr"/>
      <c r="F54" s="31" t="inlineStr"/>
      <c r="G54" s="32" t="inlineStr">
        <is>
          <t>Coincide con la utilidad neta</t>
        </is>
      </c>
    </row>
    <row r="56" ht="22" customHeight="1">
      <c r="A56" s="3" t="inlineStr">
        <is>
          <t>7.  LECCIONES DE ESTA PRIMERA VENTA</t>
        </is>
      </c>
      <c r="B56" s="4" t="n"/>
      <c r="C56" s="4" t="n"/>
      <c r="D56" s="4" t="n"/>
      <c r="E56" s="4" t="n"/>
      <c r="F56" s="4" t="n"/>
      <c r="G56" s="4" t="n"/>
    </row>
    <row r="57" ht="18" customHeight="1">
      <c r="A57" s="43" t="inlineStr">
        <is>
          <t>1. El flete costó $60.000 y cobramos $40.000</t>
        </is>
      </c>
      <c r="B57" s="33" t="inlineStr">
        <is>
          <t>Regla nueva: cobrar el flete con 20-30% por encima del costo real.</t>
        </is>
      </c>
      <c r="C57" s="21" t="n"/>
      <c r="D57" s="21" t="n"/>
      <c r="E57" s="21" t="n"/>
      <c r="F57" s="21" t="n"/>
      <c r="G57" s="21" t="n"/>
    </row>
    <row r="58" ht="18" customHeight="1">
      <c r="A58" s="43" t="inlineStr">
        <is>
          <t>2. No pedimos cédula al transportador</t>
        </is>
      </c>
      <c r="B58" s="33" t="inlineStr">
        <is>
          <t>Sin datos no hay documento soporte → los $60.000 no son deducibles.</t>
        </is>
      </c>
      <c r="C58" s="21" t="n"/>
      <c r="D58" s="21" t="n"/>
      <c r="E58" s="21" t="n"/>
      <c r="F58" s="21" t="n"/>
      <c r="G58" s="21" t="n"/>
    </row>
    <row r="59" ht="18" customHeight="1">
      <c r="A59" s="43" t="inlineStr">
        <is>
          <t>3. Hay $157.359 que no son nuestros</t>
        </is>
      </c>
      <c r="B59" s="33" t="inlineStr">
        <is>
          <t>IVA $129.839 + Simple pendiente $27.520. Separar hoy.</t>
        </is>
      </c>
      <c r="C59" s="21" t="n"/>
      <c r="D59" s="21" t="n"/>
      <c r="E59" s="21" t="n"/>
      <c r="F59" s="21" t="n"/>
      <c r="G59" s="21" t="n"/>
    </row>
    <row r="60" ht="18" customHeight="1">
      <c r="A60" s="43" t="inlineStr">
        <is>
          <t>4. Multiplicador promedio 1,95x</t>
        </is>
      </c>
      <c r="B60" s="33" t="inlineStr">
        <is>
          <t>Por cada peso invertido en mercancía recuperamos $1,95.</t>
        </is>
      </c>
      <c r="C60" s="21" t="n"/>
      <c r="D60" s="21" t="n"/>
      <c r="E60" s="21" t="n"/>
      <c r="F60" s="21" t="n"/>
      <c r="G60" s="21" t="n"/>
    </row>
    <row r="61" ht="18" customHeight="1">
      <c r="A61" s="43" t="inlineStr">
        <is>
          <t>5. La canastilla pequeña rinde 2,44x</t>
        </is>
      </c>
      <c r="B61" s="33" t="inlineStr">
        <is>
          <t>Negociar volumen con El Palacio del Hogar y buscar más productos así.</t>
        </is>
      </c>
      <c r="C61" s="21" t="n"/>
      <c r="D61" s="21" t="n"/>
      <c r="E61" s="21" t="n"/>
      <c r="F61" s="21" t="n"/>
      <c r="G61" s="21" t="n"/>
    </row>
    <row r="62" ht="18" customHeight="1">
      <c r="A62" s="43" t="inlineStr">
        <is>
          <t>6. Evolti nos retuvo $36.480</t>
        </is>
      </c>
      <c r="B62" s="33" t="inlineStr">
        <is>
          <t>Normal y a nuestro favor: se descuenta del impuesto a pagar.</t>
        </is>
      </c>
      <c r="C62" s="21" t="n"/>
      <c r="D62" s="21" t="n"/>
      <c r="E62" s="21" t="n"/>
      <c r="F62" s="21" t="n"/>
      <c r="G62" s="21" t="n"/>
    </row>
    <row r="64" ht="28" customHeight="1">
      <c r="A64" s="44" t="inlineStr">
        <is>
          <t>PRIMERA VENTA DE ABASTECER EMPRESARIAL S.A.S.   ·   Utilidad neta $559.361   ·   Margen 43,7%</t>
        </is>
      </c>
      <c r="B64" s="45" t="n"/>
      <c r="C64" s="45" t="n"/>
      <c r="D64" s="45" t="n"/>
      <c r="E64" s="45" t="n"/>
      <c r="F64" s="45" t="n"/>
      <c r="G64" s="45" t="n"/>
    </row>
  </sheetData>
  <mergeCells count="19">
    <mergeCell ref="B60:G60"/>
    <mergeCell ref="B61:G61"/>
    <mergeCell ref="A35:G35"/>
    <mergeCell ref="A4:G4"/>
    <mergeCell ref="B57:G57"/>
    <mergeCell ref="A43:G43"/>
    <mergeCell ref="A19:G19"/>
    <mergeCell ref="A10:G10"/>
    <mergeCell ref="A64:G64"/>
    <mergeCell ref="A36:G36"/>
    <mergeCell ref="A1:G1"/>
    <mergeCell ref="A41:G41"/>
    <mergeCell ref="B62:G62"/>
    <mergeCell ref="A56:G56"/>
    <mergeCell ref="B59:G59"/>
    <mergeCell ref="A12:G12"/>
    <mergeCell ref="A26:G26"/>
    <mergeCell ref="A2:G2"/>
    <mergeCell ref="B58:G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2026-08-03T04:18:34Z</dcterms:created>
  <dcterms:modified xsi:type="dcterms:W3CDTF">2026-08-03T04:18:34Z</dcterms:modified>
</cp:coreProperties>
</file>