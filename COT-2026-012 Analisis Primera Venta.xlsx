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TA COT-2026-01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color rgb="0059595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i val="1"/>
      <color rgb="007F7F7F"/>
      <sz val="9"/>
    </font>
    <font>
      <name val="Calibri"/>
      <b val="1"/>
      <sz val="10"/>
    </font>
    <font>
      <name val="Calibri"/>
      <b val="1"/>
      <color rgb="009C0006"/>
      <sz val="10"/>
    </font>
    <font>
      <name val="Calibri"/>
      <b val="1"/>
      <color rgb="00006100"/>
      <sz val="10"/>
    </font>
    <font>
      <name val="Calibri"/>
      <b val="1"/>
      <color rgb="00006100"/>
      <sz val="13"/>
    </font>
    <font>
      <name val="Calibri"/>
      <b val="1"/>
      <color rgb="00FFFFFF"/>
      <sz val="11"/>
    </font>
    <font>
      <name val="Calibri"/>
      <b val="1"/>
      <color rgb="00FFFFFF"/>
      <sz val="13"/>
    </font>
  </fonts>
  <fills count="11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FC7CE"/>
        <bgColor rgb="00FFC7CE"/>
      </patternFill>
    </fill>
    <fill>
      <patternFill patternType="solid">
        <fgColor rgb="00375623"/>
        <bgColor rgb="00375623"/>
      </patternFill>
    </fill>
    <fill>
      <patternFill patternType="solid">
        <fgColor rgb="00F2F2F2"/>
        <bgColor rgb="00F2F2F2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4" fontId="5" fillId="0" borderId="1" pivotButton="0" quotePrefix="0" xfId="0"/>
    <xf numFmtId="0" fontId="6" fillId="0" borderId="1" pivotButton="0" quotePrefix="0" xfId="0"/>
    <xf numFmtId="0" fontId="7" fillId="4" borderId="1" pivotButton="0" quotePrefix="0" xfId="0"/>
    <xf numFmtId="0" fontId="5" fillId="4" borderId="1" pivotButton="0" quotePrefix="0" xfId="0"/>
    <xf numFmtId="164" fontId="7" fillId="4" borderId="1" pivotButton="0" quotePrefix="0" xfId="0"/>
    <xf numFmtId="0" fontId="6" fillId="4" borderId="1" pivotButton="0" quotePrefix="0" xfId="0"/>
    <xf numFmtId="0" fontId="5" fillId="5" borderId="1" pivotButton="0" quotePrefix="0" xfId="0"/>
    <xf numFmtId="164" fontId="5" fillId="5" borderId="1" pivotButton="0" quotePrefix="0" xfId="0"/>
    <xf numFmtId="0" fontId="8" fillId="5" borderId="1" pivotButton="0" quotePrefix="0" xfId="0"/>
    <xf numFmtId="0" fontId="7" fillId="6" borderId="1" pivotButton="0" quotePrefix="0" xfId="0"/>
    <xf numFmtId="0" fontId="5" fillId="6" borderId="1" pivotButton="0" quotePrefix="0" xfId="0"/>
    <xf numFmtId="164" fontId="7" fillId="6" borderId="1" pivotButton="0" quotePrefix="0" xfId="0"/>
    <xf numFmtId="0" fontId="6" fillId="6" borderId="1" pivotButton="0" quotePrefix="0" xfId="0"/>
    <xf numFmtId="0" fontId="8" fillId="0" borderId="1" pivotButton="0" quotePrefix="0" xfId="0"/>
    <xf numFmtId="0" fontId="7" fillId="7" borderId="1" pivotButton="0" quotePrefix="0" xfId="0"/>
    <xf numFmtId="164" fontId="7" fillId="7" borderId="1" pivotButton="0" quotePrefix="0" xfId="0"/>
    <xf numFmtId="0" fontId="5" fillId="7" borderId="1" pivotButton="0" quotePrefix="0" xfId="0"/>
    <xf numFmtId="0" fontId="9" fillId="4" borderId="1" pivotButton="0" quotePrefix="0" xfId="0"/>
    <xf numFmtId="0" fontId="10" fillId="8" borderId="1" pivotButton="0" quotePrefix="0" xfId="0"/>
    <xf numFmtId="164" fontId="10" fillId="8" borderId="1" pivotButton="0" quotePrefix="0" xfId="0"/>
    <xf numFmtId="0" fontId="5" fillId="8" borderId="1" pivotButton="0" quotePrefix="0" xfId="0"/>
    <xf numFmtId="0" fontId="11" fillId="8" borderId="1" pivotButton="0" quotePrefix="0" xfId="0"/>
    <xf numFmtId="0" fontId="5" fillId="9" borderId="1" pivotButton="0" quotePrefix="0" xfId="0"/>
    <xf numFmtId="165" fontId="7" fillId="9" borderId="1" pivotButton="0" quotePrefix="0" xfId="0"/>
    <xf numFmtId="0" fontId="6" fillId="9" borderId="1" pivotButton="0" quotePrefix="0" xfId="0"/>
    <xf numFmtId="0" fontId="0" fillId="5" borderId="0" pivotButton="0" quotePrefix="0" xfId="0"/>
    <xf numFmtId="0" fontId="8" fillId="7" borderId="1" pivotButton="0" quotePrefix="0" xfId="0"/>
    <xf numFmtId="164" fontId="9" fillId="0" borderId="1" pivotButton="0" quotePrefix="0" xfId="0"/>
    <xf numFmtId="0" fontId="9" fillId="0" borderId="1" pivotButton="0" quotePrefix="0" xfId="0"/>
    <xf numFmtId="0" fontId="5" fillId="10" borderId="1" pivotButton="0" quotePrefix="0" xfId="0"/>
    <xf numFmtId="164" fontId="5" fillId="10" borderId="1" pivotButton="0" quotePrefix="0" xfId="0"/>
    <xf numFmtId="164" fontId="8" fillId="10" borderId="1" pivotButton="0" quotePrefix="0" xfId="0"/>
    <xf numFmtId="0" fontId="8" fillId="10" borderId="1" pivotButton="0" quotePrefix="0" xfId="0"/>
    <xf numFmtId="164" fontId="5" fillId="7" borderId="1" pivotButton="0" quotePrefix="0" xfId="0"/>
    <xf numFmtId="0" fontId="7" fillId="9" borderId="1" pivotButton="0" quotePrefix="0" xfId="0"/>
    <xf numFmtId="0" fontId="0" fillId="9" borderId="0" pivotButton="0" quotePrefix="0" xfId="0"/>
    <xf numFmtId="0" fontId="12" fillId="8" borderId="0" applyAlignment="1" pivotButton="0" quotePrefix="0" xfId="0">
      <alignment horizontal="center" vertical="center"/>
    </xf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42" customWidth="1" min="5" max="5"/>
  </cols>
  <sheetData>
    <row r="1" ht="26" customHeight="1">
      <c r="A1" s="1" t="inlineStr">
        <is>
          <t>ABASTECER EMPRESARIAL S.A.S.</t>
        </is>
      </c>
    </row>
    <row r="2">
      <c r="A2" s="2" t="inlineStr">
        <is>
          <t>Primera venta de la empresa · Cotización COT-2026-012 · Cliente: EVOLTI COMPANY SAS BIC · 29/07/2026</t>
        </is>
      </c>
    </row>
    <row r="4" ht="22" customHeight="1">
      <c r="A4" s="3" t="inlineStr">
        <is>
          <t>1.  LO QUE LE VENDIMOS AL CLIENTE</t>
        </is>
      </c>
      <c r="B4" s="4" t="n"/>
      <c r="C4" s="4" t="n"/>
      <c r="D4" s="4" t="n"/>
      <c r="E4" s="4" t="n"/>
    </row>
    <row r="5">
      <c r="A5" s="5" t="inlineStr">
        <is>
          <t>Producto</t>
        </is>
      </c>
      <c r="B5" s="5" t="inlineStr">
        <is>
          <t>Cantidad</t>
        </is>
      </c>
      <c r="C5" s="5" t="inlineStr">
        <is>
          <t>Precio unitario</t>
        </is>
      </c>
      <c r="D5" s="5" t="inlineStr">
        <is>
          <t>Subtotal</t>
        </is>
      </c>
      <c r="E5" s="5" t="inlineStr">
        <is>
          <t>Nota</t>
        </is>
      </c>
    </row>
    <row r="6">
      <c r="A6" s="6" t="inlineStr">
        <is>
          <t>CANASTILLA PEQUEÑA</t>
        </is>
      </c>
      <c r="B6" s="7" t="n">
        <v>60</v>
      </c>
      <c r="C6" s="8" t="n">
        <v>8000</v>
      </c>
      <c r="D6" s="8" t="n">
        <v>480000</v>
      </c>
      <c r="E6" s="9" t="inlineStr">
        <is>
          <t>Producto más rentable (59% margen)</t>
        </is>
      </c>
    </row>
    <row r="7">
      <c r="A7" s="6" t="inlineStr">
        <is>
          <t>CANASTILLA LISA</t>
        </is>
      </c>
      <c r="B7" s="7" t="n">
        <v>20</v>
      </c>
      <c r="C7" s="8" t="n">
        <v>38000</v>
      </c>
      <c r="D7" s="8" t="n">
        <v>760000</v>
      </c>
      <c r="E7" s="9" t="inlineStr">
        <is>
          <t>El de mayor valor de la venta</t>
        </is>
      </c>
    </row>
    <row r="8">
      <c r="A8" s="6" t="inlineStr">
        <is>
          <t>FLETE / TRANSPORTE</t>
        </is>
      </c>
      <c r="B8" s="7" t="n">
        <v>1</v>
      </c>
      <c r="C8" s="8" t="n">
        <v>40000</v>
      </c>
      <c r="D8" s="8" t="n">
        <v>40000</v>
      </c>
      <c r="E8" s="9" t="inlineStr">
        <is>
          <t>Aquí perdimos plata (ver punto 5)</t>
        </is>
      </c>
    </row>
    <row r="9">
      <c r="A9" s="10" t="inlineStr">
        <is>
          <t>SUBTOTAL (base sin IVA)</t>
        </is>
      </c>
      <c r="B9" s="11" t="inlineStr"/>
      <c r="C9" s="11" t="inlineStr"/>
      <c r="D9" s="12" t="n">
        <v>1280000</v>
      </c>
      <c r="E9" s="13" t="inlineStr">
        <is>
          <t>Sobre esto se calcula la utilidad</t>
        </is>
      </c>
    </row>
    <row r="10">
      <c r="A10" s="14" t="inlineStr">
        <is>
          <t>IVA 19% cobrado al cliente</t>
        </is>
      </c>
      <c r="B10" s="14" t="inlineStr"/>
      <c r="C10" s="14" t="inlineStr"/>
      <c r="D10" s="15" t="n">
        <v>243200</v>
      </c>
      <c r="E10" s="16" t="inlineStr">
        <is>
          <t>OJO: esta plata NO es nuestra, es de la DIAN</t>
        </is>
      </c>
    </row>
    <row r="11">
      <c r="A11" s="17" t="inlineStr">
        <is>
          <t>TOTAL FACTURADO</t>
        </is>
      </c>
      <c r="B11" s="18" t="inlineStr"/>
      <c r="C11" s="18" t="inlineStr"/>
      <c r="D11" s="19" t="n">
        <v>1523200</v>
      </c>
      <c r="E11" s="20" t="inlineStr">
        <is>
          <t>Lo que Evolti nos debe pagar</t>
        </is>
      </c>
    </row>
    <row r="13" ht="22" customHeight="1">
      <c r="A13" s="3" t="inlineStr">
        <is>
          <t>2.  LO QUE NOS COSTÓ (COMPRAS Y FLETE)</t>
        </is>
      </c>
      <c r="B13" s="4" t="n"/>
      <c r="C13" s="4" t="n"/>
      <c r="D13" s="4" t="n"/>
      <c r="E13" s="4" t="n"/>
    </row>
    <row r="14">
      <c r="A14" s="5" t="inlineStr">
        <is>
          <t>Proveedor / Concepto</t>
        </is>
      </c>
      <c r="B14" s="5" t="inlineStr">
        <is>
          <t>Subtotal</t>
        </is>
      </c>
      <c r="C14" s="5" t="inlineStr">
        <is>
          <t>IVA pagado</t>
        </is>
      </c>
      <c r="D14" s="5" t="inlineStr">
        <is>
          <t>Total pagado</t>
        </is>
      </c>
      <c r="E14" s="5" t="inlineStr">
        <is>
          <t>Soporte</t>
        </is>
      </c>
    </row>
    <row r="15">
      <c r="A15" s="6" t="inlineStr">
        <is>
          <t>EL PALACIO DEL HOGAR — 60 canastillas pequeñas</t>
        </is>
      </c>
      <c r="B15" s="8" t="n">
        <v>196639</v>
      </c>
      <c r="C15" s="8" t="n">
        <v>37361</v>
      </c>
      <c r="D15" s="8" t="n">
        <v>234000</v>
      </c>
      <c r="E15" s="9" t="inlineStr">
        <is>
          <t>Factura FCJC1119</t>
        </is>
      </c>
    </row>
    <row r="16">
      <c r="A16" s="6" t="inlineStr">
        <is>
          <t>LA BODEGA DEL TARRO — 20 canastillas lisas</t>
        </is>
      </c>
      <c r="B16" s="8" t="n">
        <v>400000</v>
      </c>
      <c r="C16" s="8" t="n">
        <v>76000</v>
      </c>
      <c r="D16" s="8" t="n">
        <v>476000</v>
      </c>
      <c r="E16" s="9" t="inlineStr">
        <is>
          <t>Factura FEHA202</t>
        </is>
      </c>
    </row>
    <row r="17">
      <c r="A17" s="6" t="inlineStr">
        <is>
          <t>SEÑOR DEL CAMIÓN — flete</t>
        </is>
      </c>
      <c r="B17" s="8" t="n">
        <v>60000</v>
      </c>
      <c r="C17" s="8" t="n">
        <v>0</v>
      </c>
      <c r="D17" s="8" t="n">
        <v>60000</v>
      </c>
      <c r="E17" s="21" t="inlineStr">
        <is>
          <t>SIN SOPORTE (pendiente doc. soporte)</t>
        </is>
      </c>
    </row>
    <row r="18">
      <c r="A18" s="22" t="inlineStr">
        <is>
          <t>TOTAL COSTOS</t>
        </is>
      </c>
      <c r="B18" s="23" t="n">
        <v>656639</v>
      </c>
      <c r="C18" s="23" t="n">
        <v>113361</v>
      </c>
      <c r="D18" s="23" t="n">
        <v>770000</v>
      </c>
      <c r="E18" s="24" t="inlineStr"/>
    </row>
    <row r="20" ht="22" customHeight="1">
      <c r="A20" s="3" t="inlineStr">
        <is>
          <t>3.  ¿CUÁNTO GANAMOS REALMENTE?</t>
        </is>
      </c>
      <c r="B20" s="4" t="n"/>
      <c r="C20" s="4" t="n"/>
      <c r="D20" s="4" t="n"/>
      <c r="E20" s="4" t="n"/>
    </row>
    <row r="21">
      <c r="A21" s="5" t="inlineStr">
        <is>
          <t>Concepto</t>
        </is>
      </c>
      <c r="B21" s="5" t="inlineStr">
        <is>
          <t>Valor</t>
        </is>
      </c>
      <c r="C21" s="5" t="inlineStr"/>
      <c r="D21" s="5" t="inlineStr"/>
      <c r="E21" s="5" t="inlineStr">
        <is>
          <t>Explicación para Laura</t>
        </is>
      </c>
    </row>
    <row r="22">
      <c r="A22" s="6" t="inlineStr">
        <is>
          <t>Total vendido (sin IVA)</t>
        </is>
      </c>
      <c r="B22" s="8" t="n">
        <v>1280000</v>
      </c>
      <c r="C22" s="6" t="inlineStr"/>
      <c r="D22" s="6" t="inlineStr"/>
      <c r="E22" s="9" t="inlineStr">
        <is>
          <t>Lo que cobramos por productos + flete</t>
        </is>
      </c>
    </row>
    <row r="23">
      <c r="A23" s="6" t="inlineStr">
        <is>
          <t>(-) Total pagado (sin IVA)</t>
        </is>
      </c>
      <c r="B23" s="8" t="n">
        <v>-656639</v>
      </c>
      <c r="C23" s="6" t="inlineStr"/>
      <c r="D23" s="6" t="inlineStr"/>
      <c r="E23" s="9" t="inlineStr">
        <is>
          <t>Lo que nos costó comprar y transportar</t>
        </is>
      </c>
    </row>
    <row r="24">
      <c r="A24" s="10">
        <f> UTILIDAD BRUTA</f>
        <v/>
      </c>
      <c r="B24" s="12" t="n">
        <v>623361</v>
      </c>
      <c r="C24" s="11" t="inlineStr"/>
      <c r="D24" s="11" t="inlineStr"/>
      <c r="E24" s="25" t="inlineStr">
        <is>
          <t>Ganancia antes de impuestos (48,7% de la venta)</t>
        </is>
      </c>
    </row>
    <row r="25">
      <c r="A25" s="6" t="inlineStr">
        <is>
          <t>(-) Impuesto Simple 5% sobre ventas</t>
        </is>
      </c>
      <c r="B25" s="8" t="n">
        <v>-64000</v>
      </c>
      <c r="C25" s="6" t="inlineStr"/>
      <c r="D25" s="6" t="inlineStr"/>
      <c r="E25" s="9" t="inlineStr">
        <is>
          <t>5% x $1.280.000 — nuestro régimen tributario</t>
        </is>
      </c>
    </row>
    <row r="26" ht="22" customHeight="1">
      <c r="A26" s="26">
        <f> UTILIDAD NETA</f>
        <v/>
      </c>
      <c r="B26" s="27" t="n">
        <v>559361</v>
      </c>
      <c r="C26" s="28" t="inlineStr"/>
      <c r="D26" s="28" t="inlineStr"/>
      <c r="E26" s="29" t="inlineStr">
        <is>
          <t>ESTA es la plata que queda para nosotros</t>
        </is>
      </c>
    </row>
    <row r="27">
      <c r="A27" s="30" t="inlineStr">
        <is>
          <t>Margen neto sobre la venta</t>
        </is>
      </c>
      <c r="B27" s="31" t="n">
        <v>0.437</v>
      </c>
      <c r="C27" s="30" t="inlineStr"/>
      <c r="D27" s="30" t="inlineStr"/>
      <c r="E27" s="32" t="inlineStr">
        <is>
          <t>De cada $100 vendidos, nos quedan $43,70</t>
        </is>
      </c>
    </row>
    <row r="29" ht="22" customHeight="1">
      <c r="A29" s="3" t="inlineStr">
        <is>
          <t>4.  EL IVA — DINERO QUE NO ES NUESTRO</t>
        </is>
      </c>
      <c r="B29" s="4" t="n"/>
      <c r="C29" s="4" t="n"/>
      <c r="D29" s="4" t="n"/>
      <c r="E29" s="4" t="n"/>
    </row>
    <row r="30">
      <c r="A30" s="16" t="inlineStr">
        <is>
          <t>El IVA no entra ni sale de la utilidad: nosotros solo lo recogemos del cliente y se lo entregamos a la DIAN.</t>
        </is>
      </c>
      <c r="B30" s="33" t="n"/>
      <c r="C30" s="33" t="n"/>
      <c r="D30" s="33" t="n"/>
      <c r="E30" s="33" t="n"/>
    </row>
    <row r="31">
      <c r="A31" s="5" t="inlineStr">
        <is>
          <t>Concepto</t>
        </is>
      </c>
      <c r="B31" s="5" t="inlineStr">
        <is>
          <t>Valor</t>
        </is>
      </c>
      <c r="C31" s="5" t="inlineStr"/>
      <c r="D31" s="5" t="inlineStr"/>
      <c r="E31" s="5" t="inlineStr">
        <is>
          <t>Detalle</t>
        </is>
      </c>
    </row>
    <row r="32">
      <c r="A32" s="6" t="inlineStr">
        <is>
          <t>IVA cobrado al cliente</t>
        </is>
      </c>
      <c r="B32" s="8" t="n">
        <v>243200</v>
      </c>
      <c r="C32" s="6" t="inlineStr"/>
      <c r="D32" s="6" t="inlineStr"/>
      <c r="E32" s="9" t="inlineStr">
        <is>
          <t>19% sobre $1.280.000</t>
        </is>
      </c>
    </row>
    <row r="33">
      <c r="A33" s="6" t="inlineStr">
        <is>
          <t>(-) IVA pagado a proveedores</t>
        </is>
      </c>
      <c r="B33" s="8" t="n">
        <v>-113361</v>
      </c>
      <c r="C33" s="6" t="inlineStr"/>
      <c r="D33" s="6" t="inlineStr"/>
      <c r="E33" s="9" t="inlineStr">
        <is>
          <t>Palacio $37.361 + Bodega $76.000 + Flete $0</t>
        </is>
      </c>
    </row>
    <row r="34">
      <c r="A34" s="22">
        <f> IVA A PAGAR A LA DIAN</f>
        <v/>
      </c>
      <c r="B34" s="23" t="n">
        <v>129839</v>
      </c>
      <c r="C34" s="24" t="inlineStr"/>
      <c r="D34" s="24" t="inlineStr"/>
      <c r="E34" s="34" t="inlineStr">
        <is>
          <t>SEPARAR YA en cuenta aparte. NO TOCAR.</t>
        </is>
      </c>
    </row>
    <row r="35">
      <c r="A35" s="9" t="inlineStr">
        <is>
          <t>Nota: al señor del camión no le pagamos IVA, así que los $7.600 de IVA del flete van completos a la DIAN (no hay nada que cruzar).</t>
        </is>
      </c>
    </row>
    <row r="37" ht="22" customHeight="1">
      <c r="A37" s="3" t="inlineStr">
        <is>
          <t>5.  RENTABILIDAD PRODUCTO POR PRODUCTO</t>
        </is>
      </c>
      <c r="B37" s="4" t="n"/>
      <c r="C37" s="4" t="n"/>
      <c r="D37" s="4" t="n"/>
      <c r="E37" s="4" t="n"/>
    </row>
    <row r="38">
      <c r="A38" s="5" t="inlineStr">
        <is>
          <t>Ítem</t>
        </is>
      </c>
      <c r="B38" s="5" t="inlineStr">
        <is>
          <t>Precio cliente</t>
        </is>
      </c>
      <c r="C38" s="5" t="inlineStr">
        <is>
          <t>Costo proveedor</t>
        </is>
      </c>
      <c r="D38" s="5" t="inlineStr">
        <is>
          <t>Utilidad</t>
        </is>
      </c>
      <c r="E38" s="5" t="inlineStr">
        <is>
          <t>Margen y análisis</t>
        </is>
      </c>
    </row>
    <row r="39">
      <c r="A39" s="6" t="inlineStr">
        <is>
          <t>CANASTILLA PEQUEÑA</t>
        </is>
      </c>
      <c r="B39" s="8" t="n">
        <v>480000</v>
      </c>
      <c r="C39" s="8" t="n">
        <v>196639</v>
      </c>
      <c r="D39" s="35" t="n">
        <v>283361</v>
      </c>
      <c r="E39" s="36" t="inlineStr">
        <is>
          <t>59,0% — nuestro producto estrella</t>
        </is>
      </c>
    </row>
    <row r="40">
      <c r="A40" s="6" t="inlineStr">
        <is>
          <t>CANASTILLA LISA</t>
        </is>
      </c>
      <c r="B40" s="8" t="n">
        <v>760000</v>
      </c>
      <c r="C40" s="8" t="n">
        <v>400000</v>
      </c>
      <c r="D40" s="35" t="n">
        <v>360000</v>
      </c>
      <c r="E40" s="36" t="inlineStr">
        <is>
          <t>47,4% — muy buen margen</t>
        </is>
      </c>
    </row>
    <row r="41">
      <c r="A41" s="37" t="inlineStr">
        <is>
          <t>FLETE</t>
        </is>
      </c>
      <c r="B41" s="38" t="n">
        <v>40000</v>
      </c>
      <c r="C41" s="38" t="n">
        <v>60000</v>
      </c>
      <c r="D41" s="39" t="n">
        <v>-20000</v>
      </c>
      <c r="E41" s="40" t="inlineStr">
        <is>
          <t>-50% — cobramos $40.000 y costó $60.000</t>
        </is>
      </c>
    </row>
    <row r="42">
      <c r="A42" s="10" t="inlineStr">
        <is>
          <t>TOTAL</t>
        </is>
      </c>
      <c r="B42" s="12" t="n">
        <v>1280000</v>
      </c>
      <c r="C42" s="12" t="n">
        <v>656639</v>
      </c>
      <c r="D42" s="12" t="n">
        <v>623361</v>
      </c>
      <c r="E42" s="25" t="inlineStr">
        <is>
          <t>48,7% de margen bruto</t>
        </is>
      </c>
    </row>
    <row r="44" ht="22" customHeight="1">
      <c r="A44" s="3" t="inlineStr">
        <is>
          <t>6.  FLUJO DE CAJA — QUÉ ENTRA Y QUÉ SALE</t>
        </is>
      </c>
      <c r="B44" s="4" t="n"/>
      <c r="C44" s="4" t="n"/>
      <c r="D44" s="4" t="n"/>
      <c r="E44" s="4" t="n"/>
    </row>
    <row r="45">
      <c r="A45" s="5" t="inlineStr">
        <is>
          <t>Movimiento</t>
        </is>
      </c>
      <c r="B45" s="5" t="inlineStr">
        <is>
          <t>Valor</t>
        </is>
      </c>
      <c r="C45" s="5" t="inlineStr"/>
      <c r="D45" s="5" t="inlineStr"/>
      <c r="E45" s="5" t="inlineStr">
        <is>
          <t>Comentario</t>
        </is>
      </c>
    </row>
    <row r="46">
      <c r="A46" s="6" t="inlineStr">
        <is>
          <t>Nos paga Evolti (total factura)</t>
        </is>
      </c>
      <c r="B46" s="8" t="n">
        <v>1523200</v>
      </c>
      <c r="C46" s="6" t="inlineStr"/>
      <c r="D46" s="6" t="inlineStr"/>
      <c r="E46" s="9" t="inlineStr">
        <is>
          <t>Incluye el IVA que luego entregamos</t>
        </is>
      </c>
    </row>
    <row r="47">
      <c r="A47" s="6" t="inlineStr">
        <is>
          <t>(-) Retención que nos aplica el cliente</t>
        </is>
      </c>
      <c r="B47" s="8" t="n">
        <v>-36480</v>
      </c>
      <c r="C47" s="6" t="inlineStr"/>
      <c r="D47" s="6" t="inlineStr"/>
      <c r="E47" s="9" t="inlineStr">
        <is>
          <t>NO es pérdida: es anticipo del impuesto Simple</t>
        </is>
      </c>
    </row>
    <row r="48">
      <c r="A48" s="17">
        <f> Entra realmente a Bold</f>
        <v/>
      </c>
      <c r="B48" s="19" t="n">
        <v>1486720</v>
      </c>
      <c r="C48" s="18" t="inlineStr"/>
      <c r="D48" s="18" t="inlineStr"/>
      <c r="E48" s="18" t="inlineStr"/>
    </row>
    <row r="49">
      <c r="A49" s="6" t="inlineStr">
        <is>
          <t>(-) Pago El Palacio del Hogar</t>
        </is>
      </c>
      <c r="B49" s="8" t="n">
        <v>-234000</v>
      </c>
      <c r="C49" s="6" t="inlineStr"/>
      <c r="D49" s="6" t="inlineStr"/>
      <c r="E49" s="6" t="inlineStr"/>
    </row>
    <row r="50">
      <c r="A50" s="6" t="inlineStr">
        <is>
          <t>(-) Pago La Bodega del Tarro</t>
        </is>
      </c>
      <c r="B50" s="8" t="n">
        <v>-476000</v>
      </c>
      <c r="C50" s="6" t="inlineStr"/>
      <c r="D50" s="6" t="inlineStr"/>
      <c r="E50" s="6" t="inlineStr"/>
    </row>
    <row r="51">
      <c r="A51" s="6" t="inlineStr">
        <is>
          <t>(-) Pago flete (señor del camión)</t>
        </is>
      </c>
      <c r="B51" s="8" t="n">
        <v>-60000</v>
      </c>
      <c r="C51" s="6" t="inlineStr"/>
      <c r="D51" s="6" t="inlineStr"/>
      <c r="E51" s="6" t="inlineStr"/>
    </row>
    <row r="52">
      <c r="A52" s="17">
        <f> Queda en la cuenta</f>
        <v/>
      </c>
      <c r="B52" s="19" t="n">
        <v>716720</v>
      </c>
      <c r="C52" s="18" t="inlineStr"/>
      <c r="D52" s="18" t="inlineStr"/>
      <c r="E52" s="20" t="inlineStr">
        <is>
          <t>Pero todavía debemos separar impuestos</t>
        </is>
      </c>
    </row>
    <row r="53">
      <c r="A53" s="24" t="inlineStr">
        <is>
          <t>(-) IVA para la DIAN</t>
        </is>
      </c>
      <c r="B53" s="41" t="n">
        <v>-129839</v>
      </c>
      <c r="C53" s="24" t="inlineStr"/>
      <c r="D53" s="24" t="inlineStr"/>
      <c r="E53" s="34" t="inlineStr">
        <is>
          <t>Guardar en cuenta aparte</t>
        </is>
      </c>
    </row>
    <row r="54">
      <c r="A54" s="24" t="inlineStr">
        <is>
          <t>(-) Impuesto Simple pendiente</t>
        </is>
      </c>
      <c r="B54" s="41" t="n">
        <v>-27520</v>
      </c>
      <c r="C54" s="24" t="inlineStr"/>
      <c r="D54" s="24" t="inlineStr"/>
      <c r="E54" s="34" t="inlineStr">
        <is>
          <t>$64.000 obligación - $36.480 ya retenido</t>
        </is>
      </c>
    </row>
    <row r="55" ht="22" customHeight="1">
      <c r="A55" s="26">
        <f> CAJA LIBRE PARA LOS SOCIOS</f>
        <v/>
      </c>
      <c r="B55" s="27" t="n">
        <v>559361</v>
      </c>
      <c r="C55" s="28" t="inlineStr"/>
      <c r="D55" s="28" t="inlineStr"/>
      <c r="E55" s="29" t="inlineStr">
        <is>
          <t>Coincide con la utilidad neta ✓</t>
        </is>
      </c>
    </row>
    <row r="57" ht="22" customHeight="1">
      <c r="A57" s="3" t="inlineStr">
        <is>
          <t>7.  LECCIONES DE ESTA PRIMERA VENTA</t>
        </is>
      </c>
      <c r="B57" s="4" t="n"/>
      <c r="C57" s="4" t="n"/>
      <c r="D57" s="4" t="n"/>
      <c r="E57" s="4" t="n"/>
    </row>
    <row r="58" ht="18" customHeight="1">
      <c r="A58" s="42" t="inlineStr">
        <is>
          <t>1. El flete nos costó $60.000 y solo cobramos $40.000.</t>
        </is>
      </c>
      <c r="B58" s="30" t="inlineStr">
        <is>
          <t>Regla nueva: cobrar el flete con 20-30% de margen encima del costo real.</t>
        </is>
      </c>
      <c r="C58" s="43" t="n"/>
      <c r="D58" s="43" t="n"/>
      <c r="E58" s="43" t="n"/>
    </row>
    <row r="59" ht="18" customHeight="1">
      <c r="A59" s="42" t="inlineStr">
        <is>
          <t>2. No le pedimos cédula al transportador.</t>
        </is>
      </c>
      <c r="B59" s="30" t="inlineStr">
        <is>
          <t>Sin datos no podemos hacer documento soporte → esos $60.000 no son deducibles.</t>
        </is>
      </c>
      <c r="C59" s="43" t="n"/>
      <c r="D59" s="43" t="n"/>
      <c r="E59" s="43" t="n"/>
    </row>
    <row r="60" ht="18" customHeight="1">
      <c r="A60" s="42" t="inlineStr">
        <is>
          <t>3. Hay $157.359 que NO son nuestros.</t>
        </is>
      </c>
      <c r="B60" s="30" t="inlineStr">
        <is>
          <t>IVA $129.839 + Simple pendiente $27.520. Separar hoy mismo.</t>
        </is>
      </c>
      <c r="C60" s="43" t="n"/>
      <c r="D60" s="43" t="n"/>
      <c r="E60" s="43" t="n"/>
    </row>
    <row r="61" ht="18" customHeight="1">
      <c r="A61" s="42" t="inlineStr">
        <is>
          <t>4. Margen bruto del 48,7%.</t>
        </is>
      </c>
      <c r="B61" s="30" t="inlineStr">
        <is>
          <t>Excelente para una comercializadora. Meta: mantenerlo sobre 40%.</t>
        </is>
      </c>
      <c r="C61" s="43" t="n"/>
      <c r="D61" s="43" t="n"/>
      <c r="E61" s="43" t="n"/>
    </row>
    <row r="62" ht="18" customHeight="1">
      <c r="A62" s="42" t="inlineStr">
        <is>
          <t>5. La canastilla pequeña rinde 59%.</t>
        </is>
      </c>
      <c r="B62" s="30" t="inlineStr">
        <is>
          <t>Buscar más productos de este tipo y negociar volumen con El Palacio del Hogar.</t>
        </is>
      </c>
      <c r="C62" s="43" t="n"/>
      <c r="D62" s="43" t="n"/>
      <c r="E62" s="43" t="n"/>
    </row>
    <row r="63" ht="18" customHeight="1">
      <c r="A63" s="42" t="inlineStr">
        <is>
          <t>6. Evolti nos retuvo $36.480.</t>
        </is>
      </c>
      <c r="B63" s="30" t="inlineStr">
        <is>
          <t>Es normal y es a nuestro favor: se descuenta del impuesto a pagar.</t>
        </is>
      </c>
      <c r="C63" s="43" t="n"/>
      <c r="D63" s="43" t="n"/>
      <c r="E63" s="43" t="n"/>
    </row>
    <row r="65" ht="28" customHeight="1">
      <c r="A65" s="44" t="inlineStr">
        <is>
          <t>PRIMERA VENTA DE ABASTECER EMPRESARIAL S.A.S. — Utilidad neta $559.361</t>
        </is>
      </c>
      <c r="B65" s="45" t="n"/>
      <c r="C65" s="45" t="n"/>
      <c r="D65" s="45" t="n"/>
      <c r="E65" s="45" t="n"/>
    </row>
  </sheetData>
  <mergeCells count="18">
    <mergeCell ref="A30:E30"/>
    <mergeCell ref="B63:E63"/>
    <mergeCell ref="B61:E61"/>
    <mergeCell ref="A29:E29"/>
    <mergeCell ref="A4:E4"/>
    <mergeCell ref="A35:E35"/>
    <mergeCell ref="A20:E20"/>
    <mergeCell ref="A57:E57"/>
    <mergeCell ref="A2:E2"/>
    <mergeCell ref="A65:E65"/>
    <mergeCell ref="B58:E58"/>
    <mergeCell ref="B62:E62"/>
    <mergeCell ref="A1:E1"/>
    <mergeCell ref="A37:E37"/>
    <mergeCell ref="B59:E59"/>
    <mergeCell ref="A13:E13"/>
    <mergeCell ref="A44:E44"/>
    <mergeCell ref="B60:E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2026-08-03T04:13:32Z</dcterms:created>
  <dcterms:modified xsi:type="dcterms:W3CDTF">2026-08-03T04:13:32Z</dcterms:modified>
</cp:coreProperties>
</file>