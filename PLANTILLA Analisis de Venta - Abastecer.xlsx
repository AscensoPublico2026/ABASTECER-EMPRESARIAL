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-2026-012" sheetId="1" state="visible" r:id="rId1"/>
    <sheet name="PLANTILLA VACIA" sheetId="2" state="visible" r:id="rId2"/>
    <sheet name="COMO USAR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b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00A9D08E"/>
        <bgColor rgb="00A9D08E"/>
      </patternFill>
    </fill>
    <fill>
      <patternFill patternType="solid">
        <fgColor rgb="00E2EFDA"/>
        <bgColor rgb="00E2EFDA"/>
      </patternFill>
    </fill>
    <fill>
      <patternFill patternType="solid">
        <fgColor rgb="00FFFF00"/>
        <bgColor rgb="00FFFF00"/>
      </patternFill>
    </fill>
    <fill>
      <patternFill patternType="solid">
        <fgColor rgb="00D9A9D9"/>
        <bgColor rgb="00D9A9D9"/>
      </patternFill>
    </fill>
    <fill>
      <patternFill patternType="solid">
        <fgColor rgb="00EFD9EF"/>
        <bgColor rgb="00EFD9EF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1F4E79"/>
        <bgColor rgb="001F4E79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0" borderId="4" pivotButton="0" quotePrefix="0" xfId="0"/>
    <xf numFmtId="0" fontId="4" fillId="0" borderId="1" pivotButton="0" quotePrefix="0" xfId="0"/>
    <xf numFmtId="164" fontId="3" fillId="4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pivotButton="0" quotePrefix="0" xfId="0"/>
    <xf numFmtId="164" fontId="4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5" fillId="0" borderId="0" pivotButton="0" quotePrefix="0" xfId="0"/>
    <xf numFmtId="0" fontId="3" fillId="9" borderId="1" applyAlignment="1" pivotButton="0" quotePrefix="0" xfId="0">
      <alignment horizontal="center" vertical="center"/>
    </xf>
    <xf numFmtId="164" fontId="4" fillId="6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1" pivotButton="0" quotePrefix="0" xfId="0"/>
    <xf numFmtId="0" fontId="4" fillId="6" borderId="1" applyAlignment="1" pivotButton="0" quotePrefix="0" xfId="0">
      <alignment horizontal="center" vertical="center"/>
    </xf>
    <xf numFmtId="165" fontId="4" fillId="6" borderId="1" pivotButton="0" quotePrefix="0" xfId="0"/>
    <xf numFmtId="0" fontId="3" fillId="6" borderId="1" pivotButton="0" quotePrefix="0" xfId="0"/>
    <xf numFmtId="0" fontId="3" fillId="10" borderId="1" pivotButton="0" quotePrefix="0" xfId="0"/>
    <xf numFmtId="164" fontId="3" fillId="10" borderId="1" pivotButton="0" quotePrefix="0" xfId="0"/>
    <xf numFmtId="166" fontId="3" fillId="0" borderId="1" pivotButton="0" quotePrefix="0" xfId="0"/>
    <xf numFmtId="0" fontId="6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7" borderId="1" pivotButton="0" quotePrefix="0" xfId="0"/>
    <xf numFmtId="0" fontId="4" fillId="7" borderId="1" applyAlignment="1" pivotButton="0" quotePrefix="0" xfId="0">
      <alignment horizontal="center" vertical="center"/>
    </xf>
    <xf numFmtId="164" fontId="4" fillId="7" borderId="1" pivotButton="0" quotePrefix="0" xfId="0"/>
    <xf numFmtId="165" fontId="4" fillId="7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3" fillId="7" borderId="1" pivotButton="0" quotePrefix="0" xfId="0"/>
    <xf numFmtId="0" fontId="3" fillId="9" borderId="0" pivotButton="0" quotePrefix="0" xfId="0"/>
    <xf numFmtId="0" fontId="3" fillId="9" borderId="0" applyAlignment="1" pivotButton="0" quotePrefix="0" xfId="0">
      <alignment vertical="center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5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14" customWidth="1" min="4" max="4"/>
    <col width="13" customWidth="1" min="5" max="5"/>
    <col width="15" customWidth="1" min="6" max="6"/>
    <col width="2" customWidth="1" min="7" max="7"/>
    <col width="38" customWidth="1" min="8" max="8"/>
    <col width="16" customWidth="1" min="9" max="9"/>
    <col width="16" customWidth="1" min="10" max="10"/>
    <col width="16" customWidth="1" min="11" max="11"/>
    <col width="2" customWidth="1" min="12" max="12"/>
  </cols>
  <sheetData>
    <row r="1" ht="24" customHeight="1">
      <c r="B1" s="1" t="inlineStr">
        <is>
          <t>ABASTECER EMPRESARIAL S.A.S.   ·   ANÁLISIS DE VENTA</t>
        </is>
      </c>
    </row>
    <row r="2">
      <c r="B2" s="2" t="inlineStr">
        <is>
          <t>Celdas con fondo de color = escribir aquí.  Celdas blancas con borde = se calculan solas.</t>
        </is>
      </c>
    </row>
    <row r="4">
      <c r="B4" s="3" t="inlineStr">
        <is>
          <t>VENTA AL CLIENTE</t>
        </is>
      </c>
      <c r="C4" s="4" t="n"/>
      <c r="D4" s="3" t="inlineStr">
        <is>
          <t>COT-2026-012  ·  EVOLTI COMPANY SAS BIC</t>
        </is>
      </c>
      <c r="E4" s="4" t="n"/>
      <c r="F4" s="4" t="n"/>
      <c r="H4" s="5" t="inlineStr">
        <is>
          <t>IVA</t>
        </is>
      </c>
      <c r="I4" s="6" t="n"/>
    </row>
    <row r="5">
      <c r="B5" s="3" t="inlineStr">
        <is>
          <t>PRODUCTO</t>
        </is>
      </c>
      <c r="C5" s="3" t="inlineStr">
        <is>
          <t>CANTIDAD</t>
        </is>
      </c>
      <c r="D5" s="3" t="inlineStr">
        <is>
          <t>VALOR UNIDAD</t>
        </is>
      </c>
      <c r="E5" s="3" t="inlineStr">
        <is>
          <t>TOTAL</t>
        </is>
      </c>
      <c r="F5" s="7" t="n"/>
      <c r="H5" s="8" t="inlineStr">
        <is>
          <t>IVA COBRADO A CLIENTE</t>
        </is>
      </c>
      <c r="I5" s="9">
        <f>E15</f>
        <v/>
      </c>
    </row>
    <row r="6">
      <c r="B6" s="10" t="inlineStr">
        <is>
          <t>CANASTILLA PEQUEÑA</t>
        </is>
      </c>
      <c r="C6" s="11" t="n">
        <v>60</v>
      </c>
      <c r="D6" s="12" t="n">
        <v>8000</v>
      </c>
      <c r="E6" s="13">
        <f>IF(C6="","",C6*D6)</f>
        <v/>
      </c>
      <c r="F6" s="8" t="n"/>
      <c r="H6" s="8" t="inlineStr">
        <is>
          <t>IVA PAGADO A PROVEEDOR</t>
        </is>
      </c>
      <c r="I6" s="9">
        <f>F51</f>
        <v/>
      </c>
    </row>
    <row r="7">
      <c r="B7" s="10" t="inlineStr">
        <is>
          <t>CANASTILLA LISA</t>
        </is>
      </c>
      <c r="C7" s="11" t="n">
        <v>20</v>
      </c>
      <c r="D7" s="12" t="n">
        <v>38000</v>
      </c>
      <c r="E7" s="13">
        <f>IF(C7="","",C7*D7)</f>
        <v/>
      </c>
      <c r="F7" s="8" t="n"/>
      <c r="H7" s="14" t="inlineStr">
        <is>
          <t>IVA QUE DEBEMOS GUARDAR PARA PAGAR A LA DIAN</t>
        </is>
      </c>
      <c r="I7" s="15">
        <f>I5-I6</f>
        <v/>
      </c>
    </row>
    <row r="8">
      <c r="B8" s="10" t="inlineStr">
        <is>
          <t>FLETE</t>
        </is>
      </c>
      <c r="C8" s="11" t="n">
        <v>1</v>
      </c>
      <c r="D8" s="12" t="n">
        <v>40000</v>
      </c>
      <c r="E8" s="13">
        <f>IF(C8="","",C8*D8)</f>
        <v/>
      </c>
      <c r="F8" s="8" t="n"/>
      <c r="H8" s="16" t="inlineStr">
        <is>
          <t>Esta plata no es nuestra. Se separa en cuenta aparte.</t>
        </is>
      </c>
    </row>
    <row r="9">
      <c r="B9" s="10" t="inlineStr"/>
      <c r="C9" s="11" t="n"/>
      <c r="D9" s="12" t="n"/>
      <c r="E9" s="13">
        <f>IF(C9="","",C9*D9)</f>
        <v/>
      </c>
      <c r="F9" s="8" t="n"/>
    </row>
    <row r="10">
      <c r="B10" s="10" t="inlineStr"/>
      <c r="C10" s="11" t="n"/>
      <c r="D10" s="12" t="n"/>
      <c r="E10" s="13">
        <f>IF(C10="","",C10*D10)</f>
        <v/>
      </c>
      <c r="F10" s="8" t="n"/>
      <c r="H10" s="5" t="inlineStr">
        <is>
          <t>SUB TOTAL UTILIDAD</t>
        </is>
      </c>
      <c r="I10" s="6" t="n"/>
      <c r="J10" s="6" t="n"/>
      <c r="K10" s="6" t="n"/>
    </row>
    <row r="11">
      <c r="B11" s="10" t="inlineStr"/>
      <c r="C11" s="11" t="n"/>
      <c r="D11" s="12" t="n"/>
      <c r="E11" s="13">
        <f>IF(C11="","",C11*D11)</f>
        <v/>
      </c>
      <c r="F11" s="8" t="n"/>
      <c r="H11" s="17" t="inlineStr">
        <is>
          <t>ITEM</t>
        </is>
      </c>
      <c r="I11" s="17" t="inlineStr">
        <is>
          <t>PRECIO CLIENTE</t>
        </is>
      </c>
      <c r="J11" s="17" t="inlineStr">
        <is>
          <t>PRECIO PROVEEDOR</t>
        </is>
      </c>
      <c r="K11" s="17" t="inlineStr">
        <is>
          <t>UTILIDAD</t>
        </is>
      </c>
    </row>
    <row r="12">
      <c r="B12" s="10" t="inlineStr"/>
      <c r="C12" s="11" t="n"/>
      <c r="D12" s="12" t="n"/>
      <c r="E12" s="13">
        <f>IF(C12="","",C12*D12)</f>
        <v/>
      </c>
      <c r="F12" s="8" t="n"/>
      <c r="H12" s="8">
        <f>IF(B6="","",B6)</f>
        <v/>
      </c>
      <c r="I12" s="13">
        <f>IF(B6="","",E6)</f>
        <v/>
      </c>
      <c r="J12" s="18" t="n">
        <v>196639</v>
      </c>
      <c r="K12" s="13">
        <f>IF(I12="","",I12-N(J12))</f>
        <v/>
      </c>
    </row>
    <row r="13">
      <c r="B13" s="10" t="inlineStr"/>
      <c r="C13" s="11" t="n"/>
      <c r="D13" s="12" t="n"/>
      <c r="E13" s="13">
        <f>IF(C13="","",C13*D13)</f>
        <v/>
      </c>
      <c r="F13" s="8" t="n"/>
      <c r="H13" s="8">
        <f>IF(B7="","",B7)</f>
        <v/>
      </c>
      <c r="I13" s="13">
        <f>IF(B7="","",E7)</f>
        <v/>
      </c>
      <c r="J13" s="18" t="n">
        <v>400000</v>
      </c>
      <c r="K13" s="13">
        <f>IF(I13="","",I13-N(J13))</f>
        <v/>
      </c>
    </row>
    <row r="14">
      <c r="B14" s="19" t="inlineStr">
        <is>
          <t>SUBTOTAL</t>
        </is>
      </c>
      <c r="C14" s="10" t="inlineStr"/>
      <c r="D14" s="10" t="inlineStr"/>
      <c r="E14" s="15">
        <f>SUM(E6:E13)</f>
        <v/>
      </c>
      <c r="F14" s="8" t="n"/>
      <c r="H14" s="8">
        <f>IF(B8="","",B8)</f>
        <v/>
      </c>
      <c r="I14" s="13">
        <f>IF(B8="","",E8)</f>
        <v/>
      </c>
      <c r="J14" s="18" t="n">
        <v>60000</v>
      </c>
      <c r="K14" s="13">
        <f>IF(I14="","",I14-N(J14))</f>
        <v/>
      </c>
    </row>
    <row r="15">
      <c r="B15" s="19" t="inlineStr">
        <is>
          <t>IVA 19%</t>
        </is>
      </c>
      <c r="C15" s="10" t="inlineStr"/>
      <c r="D15" s="10" t="inlineStr"/>
      <c r="E15" s="9">
        <f>E14*0.19</f>
        <v/>
      </c>
      <c r="F15" s="20" t="n"/>
      <c r="H15" s="8">
        <f>IF(B9="","",B9)</f>
        <v/>
      </c>
      <c r="I15" s="13">
        <f>IF(B9="","",E9)</f>
        <v/>
      </c>
      <c r="J15" s="12" t="n"/>
      <c r="K15" s="13">
        <f>IF(I15="","",I15-N(J15))</f>
        <v/>
      </c>
    </row>
    <row r="16">
      <c r="B16" s="19" t="inlineStr">
        <is>
          <t>TOTAL FACTURADO</t>
        </is>
      </c>
      <c r="C16" s="10" t="inlineStr"/>
      <c r="D16" s="10" t="inlineStr"/>
      <c r="E16" s="15">
        <f>E14+E15</f>
        <v/>
      </c>
      <c r="F16" s="8" t="n"/>
      <c r="H16" s="8">
        <f>IF(B10="","",B10)</f>
        <v/>
      </c>
      <c r="I16" s="13">
        <f>IF(B10="","",E10)</f>
        <v/>
      </c>
      <c r="J16" s="12" t="n"/>
      <c r="K16" s="13">
        <f>IF(I16="","",I16-N(J16))</f>
        <v/>
      </c>
    </row>
    <row r="17">
      <c r="H17" s="8">
        <f>IF(B11="","",B11)</f>
        <v/>
      </c>
      <c r="I17" s="13">
        <f>IF(B11="","",E11)</f>
        <v/>
      </c>
      <c r="J17" s="12" t="n"/>
      <c r="K17" s="13">
        <f>IF(I17="","",I17-N(J17))</f>
        <v/>
      </c>
    </row>
    <row r="18">
      <c r="B18" s="21" t="inlineStr">
        <is>
          <t>COMPRAS Y COSTOS DE ESTA VENTA</t>
        </is>
      </c>
      <c r="C18" s="22" t="n"/>
      <c r="D18" s="22" t="n"/>
      <c r="E18" s="22" t="n"/>
      <c r="F18" s="22" t="n"/>
      <c r="H18" s="8">
        <f>IF(B12="","",B12)</f>
        <v/>
      </c>
      <c r="I18" s="13">
        <f>IF(B12="","",E12)</f>
        <v/>
      </c>
      <c r="J18" s="12" t="n"/>
      <c r="K18" s="13">
        <f>IF(I18="","",I18-N(J18))</f>
        <v/>
      </c>
    </row>
    <row r="19">
      <c r="B19" s="21" t="inlineStr">
        <is>
          <t>FCJC1119 — EL PALACIO DEL HOGAR CALI</t>
        </is>
      </c>
      <c r="C19" s="22" t="n"/>
      <c r="D19" s="22" t="n"/>
      <c r="E19" s="22" t="n"/>
      <c r="F19" s="22" t="n"/>
      <c r="H19" s="8">
        <f>IF(B13="","",B13)</f>
        <v/>
      </c>
      <c r="I19" s="13">
        <f>IF(B13="","",E13)</f>
        <v/>
      </c>
      <c r="J19" s="12" t="n"/>
      <c r="K19" s="13">
        <f>IF(I19="","",I19-N(J19))</f>
        <v/>
      </c>
    </row>
    <row r="20">
      <c r="B20" s="21" t="inlineStr">
        <is>
          <t>PRODUCTO</t>
        </is>
      </c>
      <c r="C20" s="21" t="inlineStr">
        <is>
          <t>CANTIDAD</t>
        </is>
      </c>
      <c r="D20" s="21" t="inlineStr">
        <is>
          <t>VALOR UNIDAD</t>
        </is>
      </c>
      <c r="E20" s="21" t="inlineStr">
        <is>
          <t>IVA UNIDAD</t>
        </is>
      </c>
      <c r="F20" s="21" t="inlineStr">
        <is>
          <t>SUB TOTAL</t>
        </is>
      </c>
      <c r="H20" s="14" t="inlineStr">
        <is>
          <t>TOTAL VENTA A CLIENTE</t>
        </is>
      </c>
      <c r="I20" s="15">
        <f>E14</f>
        <v/>
      </c>
      <c r="J20" s="8" t="inlineStr"/>
      <c r="K20" s="8" t="inlineStr"/>
    </row>
    <row r="21">
      <c r="B21" s="23" t="inlineStr">
        <is>
          <t>CANASTILLA PEQUEÑA</t>
        </is>
      </c>
      <c r="C21" s="24" t="n">
        <v>60</v>
      </c>
      <c r="D21" s="18" t="n">
        <v>3277.32</v>
      </c>
      <c r="E21" s="25" t="n">
        <v>622.6900000000001</v>
      </c>
      <c r="F21" s="13">
        <f>IF(C21="","",C21*D21)</f>
        <v/>
      </c>
      <c r="H21" s="14" t="inlineStr">
        <is>
          <t>TOTAL COMPRA A PROVEEDOR</t>
        </is>
      </c>
      <c r="I21" s="8" t="inlineStr"/>
      <c r="J21" s="15">
        <f>F50</f>
        <v/>
      </c>
      <c r="K21" s="8" t="inlineStr"/>
    </row>
    <row r="22">
      <c r="B22" s="23" t="inlineStr"/>
      <c r="C22" s="24" t="n"/>
      <c r="D22" s="18" t="n"/>
      <c r="E22" s="25" t="n"/>
      <c r="F22" s="13">
        <f>IF(C22="","",C22*D22)</f>
        <v/>
      </c>
      <c r="H22" s="14" t="inlineStr">
        <is>
          <t>TOTAL UTILIDAD</t>
        </is>
      </c>
      <c r="I22" s="8" t="inlineStr"/>
      <c r="J22" s="8" t="inlineStr"/>
      <c r="K22" s="15">
        <f>E14-F50</f>
        <v/>
      </c>
    </row>
    <row r="23">
      <c r="B23" s="23" t="inlineStr"/>
      <c r="C23" s="24" t="n"/>
      <c r="D23" s="18" t="n"/>
      <c r="E23" s="25" t="n"/>
      <c r="F23" s="13">
        <f>IF(C23="","",C23*D23)</f>
        <v/>
      </c>
    </row>
    <row r="24">
      <c r="B24" s="23" t="inlineStr"/>
      <c r="C24" s="24" t="n"/>
      <c r="D24" s="18" t="n"/>
      <c r="E24" s="25" t="n"/>
      <c r="F24" s="13">
        <f>IF(C24="","",C24*D24)</f>
        <v/>
      </c>
      <c r="H24" s="5" t="inlineStr">
        <is>
          <t>IMPUESTOS</t>
        </is>
      </c>
      <c r="I24" s="6" t="n"/>
    </row>
    <row r="25">
      <c r="B25" s="23" t="inlineStr"/>
      <c r="C25" s="23" t="inlineStr"/>
      <c r="D25" s="23" t="inlineStr"/>
      <c r="E25" s="26" t="inlineStr">
        <is>
          <t>SUB TOTAL</t>
        </is>
      </c>
      <c r="F25" s="15">
        <f>SUM(F21:F24)</f>
        <v/>
      </c>
      <c r="H25" s="8" t="inlineStr">
        <is>
          <t>TOTAL VENDIDO AL CLIENTE</t>
        </is>
      </c>
      <c r="I25" s="13">
        <f>E14</f>
        <v/>
      </c>
    </row>
    <row r="26">
      <c r="B26" s="23" t="inlineStr"/>
      <c r="C26" s="23" t="inlineStr"/>
      <c r="D26" s="23" t="inlineStr"/>
      <c r="E26" s="26" t="inlineStr">
        <is>
          <t>IVA</t>
        </is>
      </c>
      <c r="F26" s="15">
        <f>SUMPRODUCT(C21:C24,E21:E24)</f>
        <v/>
      </c>
      <c r="H26" s="8" t="inlineStr">
        <is>
          <t>5% DE IMPUESTO (Régimen Simple)</t>
        </is>
      </c>
      <c r="I26" s="13">
        <f>I25*0.05</f>
        <v/>
      </c>
    </row>
    <row r="27">
      <c r="B27" s="23" t="inlineStr"/>
      <c r="C27" s="23" t="inlineStr"/>
      <c r="D27" s="23" t="inlineStr"/>
      <c r="E27" s="26" t="inlineStr">
        <is>
          <t>TOTAL PAGADO</t>
        </is>
      </c>
      <c r="F27" s="15">
        <f>F25+F26</f>
        <v/>
      </c>
      <c r="H27" s="8" t="inlineStr">
        <is>
          <t>RETENCIONES REALIZADAS POR EL CLIENTE</t>
        </is>
      </c>
      <c r="I27" s="12" t="n">
        <v>36480</v>
      </c>
    </row>
    <row r="28">
      <c r="H28" s="14" t="inlineStr">
        <is>
          <t>VALOR A SEPARAR PARA PAGAR IMPUESTOS</t>
        </is>
      </c>
      <c r="I28" s="15">
        <f>I26-N(I27)</f>
        <v/>
      </c>
    </row>
    <row r="29">
      <c r="B29" s="21" t="inlineStr">
        <is>
          <t>FEHA202 — HERNANDO RAMIREZ ARIAS · LA BODEGA DEL TARRO</t>
        </is>
      </c>
      <c r="C29" s="22" t="n"/>
      <c r="D29" s="22" t="n"/>
      <c r="E29" s="22" t="n"/>
      <c r="F29" s="22" t="n"/>
    </row>
    <row r="30">
      <c r="B30" s="21" t="inlineStr">
        <is>
          <t>PRODUCTO</t>
        </is>
      </c>
      <c r="C30" s="21" t="inlineStr">
        <is>
          <t>CANTIDAD</t>
        </is>
      </c>
      <c r="D30" s="21" t="inlineStr">
        <is>
          <t>VALOR UNIDAD</t>
        </is>
      </c>
      <c r="E30" s="21" t="inlineStr">
        <is>
          <t>IVA UNIDAD</t>
        </is>
      </c>
      <c r="F30" s="21" t="inlineStr">
        <is>
          <t>SUB TOTAL</t>
        </is>
      </c>
      <c r="H30" s="5" t="inlineStr">
        <is>
          <t>UTILIDAD</t>
        </is>
      </c>
      <c r="I30" s="6" t="n"/>
    </row>
    <row r="31">
      <c r="B31" s="23" t="inlineStr">
        <is>
          <t>CANASTILLA LISA</t>
        </is>
      </c>
      <c r="C31" s="24" t="n">
        <v>20</v>
      </c>
      <c r="D31" s="18" t="n">
        <v>20000</v>
      </c>
      <c r="E31" s="25" t="n">
        <v>3800</v>
      </c>
      <c r="F31" s="13">
        <f>IF(C31="","",C31*D31)</f>
        <v/>
      </c>
      <c r="H31" s="8" t="inlineStr">
        <is>
          <t>TOTAL VENDIDO</t>
        </is>
      </c>
      <c r="I31" s="13">
        <f>E14</f>
        <v/>
      </c>
    </row>
    <row r="32">
      <c r="B32" s="23" t="inlineStr"/>
      <c r="C32" s="24" t="n"/>
      <c r="D32" s="18" t="n"/>
      <c r="E32" s="25" t="n"/>
      <c r="F32" s="13">
        <f>IF(C32="","",C32*D32)</f>
        <v/>
      </c>
      <c r="H32" s="8" t="inlineStr">
        <is>
          <t>TOTAL PAGADO</t>
        </is>
      </c>
      <c r="I32" s="13">
        <f>F50</f>
        <v/>
      </c>
    </row>
    <row r="33">
      <c r="B33" s="23" t="inlineStr"/>
      <c r="C33" s="24" t="n"/>
      <c r="D33" s="18" t="n"/>
      <c r="E33" s="25" t="n"/>
      <c r="F33" s="13">
        <f>IF(C33="","",C33*D33)</f>
        <v/>
      </c>
      <c r="H33" s="8" t="inlineStr">
        <is>
          <t>SUBTOTAL UTILIDAD</t>
        </is>
      </c>
      <c r="I33" s="13">
        <f>I31-I32</f>
        <v/>
      </c>
    </row>
    <row r="34">
      <c r="B34" s="23" t="inlineStr"/>
      <c r="C34" s="24" t="n"/>
      <c r="D34" s="18" t="n"/>
      <c r="E34" s="25" t="n"/>
      <c r="F34" s="13">
        <f>IF(C34="","",C34*D34)</f>
        <v/>
      </c>
      <c r="H34" s="8" t="inlineStr">
        <is>
          <t>IMPUESTOS</t>
        </is>
      </c>
      <c r="I34" s="13">
        <f>I26</f>
        <v/>
      </c>
    </row>
    <row r="35">
      <c r="B35" s="23" t="inlineStr"/>
      <c r="C35" s="23" t="inlineStr"/>
      <c r="D35" s="23" t="inlineStr"/>
      <c r="E35" s="26" t="inlineStr">
        <is>
          <t>SUB TOTAL</t>
        </is>
      </c>
      <c r="F35" s="15">
        <f>SUM(F31:F34)</f>
        <v/>
      </c>
      <c r="H35" s="27" t="inlineStr">
        <is>
          <t>TOTAL UTILIDAD</t>
        </is>
      </c>
      <c r="I35" s="28">
        <f>I33-I34</f>
        <v/>
      </c>
    </row>
    <row r="36">
      <c r="B36" s="23" t="inlineStr"/>
      <c r="C36" s="23" t="inlineStr"/>
      <c r="D36" s="23" t="inlineStr"/>
      <c r="E36" s="26" t="inlineStr">
        <is>
          <t>IVA</t>
        </is>
      </c>
      <c r="F36" s="15">
        <f>SUMPRODUCT(C31:C34,E31:E34)</f>
        <v/>
      </c>
      <c r="H36" s="8" t="inlineStr">
        <is>
          <t>MARGEN NETO SOBRE LA VENTA</t>
        </is>
      </c>
      <c r="I36" s="29">
        <f>IF(I31=0,"",I35/I31)</f>
        <v/>
      </c>
    </row>
    <row r="37">
      <c r="B37" s="23" t="inlineStr"/>
      <c r="C37" s="23" t="inlineStr"/>
      <c r="D37" s="23" t="inlineStr"/>
      <c r="E37" s="26" t="inlineStr">
        <is>
          <t>TOTAL PAGADO</t>
        </is>
      </c>
      <c r="F37" s="15">
        <f>F35+F36</f>
        <v/>
      </c>
    </row>
    <row r="38">
      <c r="H38" s="30" t="inlineStr">
        <is>
          <t>DINERO QUE HAY QUE SEPARAR (NO ES NUESTRO)</t>
        </is>
      </c>
      <c r="I38" s="31" t="n"/>
    </row>
    <row r="39">
      <c r="B39" s="32" t="inlineStr">
        <is>
          <t>FLETE — SIN SOPORTE (PENDIENTE HACER DOCUMENTO SOPORTE)</t>
        </is>
      </c>
      <c r="C39" s="33" t="n"/>
      <c r="D39" s="33" t="n"/>
      <c r="E39" s="33" t="n"/>
      <c r="F39" s="33" t="n"/>
      <c r="H39" s="8" t="inlineStr">
        <is>
          <t>IVA para la DIAN</t>
        </is>
      </c>
      <c r="I39" s="13">
        <f>I7</f>
        <v/>
      </c>
    </row>
    <row r="40">
      <c r="B40" s="32" t="inlineStr">
        <is>
          <t>PRODUCTO</t>
        </is>
      </c>
      <c r="C40" s="32" t="inlineStr">
        <is>
          <t>CANTIDAD</t>
        </is>
      </c>
      <c r="D40" s="32" t="inlineStr">
        <is>
          <t>VALOR UNIDAD</t>
        </is>
      </c>
      <c r="E40" s="32" t="inlineStr">
        <is>
          <t>IVA UNIDAD</t>
        </is>
      </c>
      <c r="F40" s="32" t="inlineStr">
        <is>
          <t>SUB TOTAL</t>
        </is>
      </c>
      <c r="H40" s="8" t="inlineStr">
        <is>
          <t>Impuesto Simple pendiente</t>
        </is>
      </c>
      <c r="I40" s="13">
        <f>I28</f>
        <v/>
      </c>
    </row>
    <row r="41">
      <c r="B41" s="34" t="inlineStr">
        <is>
          <t>FLETE</t>
        </is>
      </c>
      <c r="C41" s="35" t="n">
        <v>1</v>
      </c>
      <c r="D41" s="36" t="n">
        <v>60000</v>
      </c>
      <c r="E41" s="37" t="n">
        <v>0</v>
      </c>
      <c r="F41" s="13">
        <f>IF(C41="","",C41*D41)</f>
        <v/>
      </c>
      <c r="H41" s="38" t="inlineStr">
        <is>
          <t>TOTAL A SEPARAR</t>
        </is>
      </c>
      <c r="I41" s="39">
        <f>I39+I40</f>
        <v/>
      </c>
    </row>
    <row r="42">
      <c r="B42" s="34" t="inlineStr"/>
      <c r="C42" s="35" t="n"/>
      <c r="D42" s="36" t="n"/>
      <c r="E42" s="37" t="n"/>
      <c r="F42" s="13">
        <f>IF(C42="","",C42*D42)</f>
        <v/>
      </c>
      <c r="H42" s="27" t="inlineStr">
        <is>
          <t>UTILIDAD LIBRE PARA LOS SOCIOS</t>
        </is>
      </c>
      <c r="I42" s="28">
        <f>I35</f>
        <v/>
      </c>
    </row>
    <row r="43">
      <c r="B43" s="34" t="inlineStr"/>
      <c r="C43" s="35" t="n"/>
      <c r="D43" s="36" t="n"/>
      <c r="E43" s="37" t="n"/>
      <c r="F43" s="13">
        <f>IF(C43="","",C43*D43)</f>
        <v/>
      </c>
    </row>
    <row r="44">
      <c r="B44" s="34" t="inlineStr"/>
      <c r="C44" s="35" t="n"/>
      <c r="D44" s="36" t="n"/>
      <c r="E44" s="37" t="n"/>
      <c r="F44" s="13">
        <f>IF(C44="","",C44*D44)</f>
        <v/>
      </c>
    </row>
    <row r="45">
      <c r="B45" s="34" t="inlineStr"/>
      <c r="C45" s="34" t="inlineStr"/>
      <c r="D45" s="34" t="inlineStr"/>
      <c r="E45" s="40" t="inlineStr">
        <is>
          <t>SUB TOTAL</t>
        </is>
      </c>
      <c r="F45" s="15">
        <f>SUM(F41:F44)</f>
        <v/>
      </c>
    </row>
    <row r="46">
      <c r="B46" s="34" t="inlineStr"/>
      <c r="C46" s="34" t="inlineStr"/>
      <c r="D46" s="34" t="inlineStr"/>
      <c r="E46" s="40" t="inlineStr">
        <is>
          <t>IVA</t>
        </is>
      </c>
      <c r="F46" s="15">
        <f>SUMPRODUCT(C41:C44,E41:E44)</f>
        <v/>
      </c>
    </row>
    <row r="47">
      <c r="B47" s="34" t="inlineStr"/>
      <c r="C47" s="34" t="inlineStr"/>
      <c r="D47" s="34" t="inlineStr"/>
      <c r="E47" s="40" t="inlineStr">
        <is>
          <t>TOTAL PAGADO</t>
        </is>
      </c>
      <c r="F47" s="15">
        <f>F45+F46</f>
        <v/>
      </c>
    </row>
    <row r="49">
      <c r="B49" s="21" t="inlineStr">
        <is>
          <t>TOTAL COMPRAS Y COSTOS</t>
        </is>
      </c>
      <c r="C49" s="22" t="n"/>
      <c r="D49" s="22" t="n"/>
      <c r="E49" s="22" t="n"/>
      <c r="F49" s="22" t="n"/>
    </row>
    <row r="50">
      <c r="B50" s="23" t="inlineStr"/>
      <c r="C50" s="23" t="inlineStr"/>
      <c r="D50" s="23" t="inlineStr"/>
      <c r="E50" s="26" t="inlineStr">
        <is>
          <t>SUB TOTAL</t>
        </is>
      </c>
      <c r="F50" s="15">
        <f>F25+F35+F45</f>
        <v/>
      </c>
    </row>
    <row r="51">
      <c r="B51" s="23" t="inlineStr"/>
      <c r="C51" s="23" t="inlineStr"/>
      <c r="D51" s="23" t="inlineStr"/>
      <c r="E51" s="26" t="inlineStr">
        <is>
          <t>TOTAL IVA</t>
        </is>
      </c>
      <c r="F51" s="9">
        <f>F26+F36+F46</f>
        <v/>
      </c>
    </row>
    <row r="52">
      <c r="B52" s="23" t="inlineStr"/>
      <c r="C52" s="23" t="inlineStr"/>
      <c r="D52" s="23" t="inlineStr"/>
      <c r="E52" s="26" t="inlineStr">
        <is>
          <t>TOTAL PAGADO</t>
        </is>
      </c>
      <c r="F52" s="15">
        <f>F27+F37+F47</f>
        <v/>
      </c>
    </row>
  </sheetData>
  <mergeCells count="27">
    <mergeCell ref="E12:F12"/>
    <mergeCell ref="H38:I38"/>
    <mergeCell ref="E5:F5"/>
    <mergeCell ref="E14:F14"/>
    <mergeCell ref="H4:I4"/>
    <mergeCell ref="E8:F8"/>
    <mergeCell ref="B18:F18"/>
    <mergeCell ref="B39:F39"/>
    <mergeCell ref="E10:F10"/>
    <mergeCell ref="D4:F4"/>
    <mergeCell ref="E13:F13"/>
    <mergeCell ref="E9:F9"/>
    <mergeCell ref="H10:K10"/>
    <mergeCell ref="B29:F29"/>
    <mergeCell ref="E6:F6"/>
    <mergeCell ref="E15:F15"/>
    <mergeCell ref="E11:F11"/>
    <mergeCell ref="B19:F19"/>
    <mergeCell ref="B2:K2"/>
    <mergeCell ref="B49:F49"/>
    <mergeCell ref="B1:K1"/>
    <mergeCell ref="E16:F16"/>
    <mergeCell ref="E7:F7"/>
    <mergeCell ref="H24:I24"/>
    <mergeCell ref="H8:I8"/>
    <mergeCell ref="B4:C4"/>
    <mergeCell ref="H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5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14" customWidth="1" min="4" max="4"/>
    <col width="13" customWidth="1" min="5" max="5"/>
    <col width="15" customWidth="1" min="6" max="6"/>
    <col width="2" customWidth="1" min="7" max="7"/>
    <col width="38" customWidth="1" min="8" max="8"/>
    <col width="16" customWidth="1" min="9" max="9"/>
    <col width="16" customWidth="1" min="10" max="10"/>
    <col width="16" customWidth="1" min="11" max="11"/>
    <col width="2" customWidth="1" min="12" max="12"/>
  </cols>
  <sheetData>
    <row r="1" ht="24" customHeight="1">
      <c r="B1" s="1" t="inlineStr">
        <is>
          <t>ABASTECER EMPRESARIAL S.A.S.   ·   ANÁLISIS DE VENTA</t>
        </is>
      </c>
    </row>
    <row r="2">
      <c r="B2" s="2" t="inlineStr">
        <is>
          <t>Celdas con fondo de color = escribir aquí.  Celdas blancas con borde = se calculan solas.</t>
        </is>
      </c>
    </row>
    <row r="4">
      <c r="B4" s="3" t="inlineStr">
        <is>
          <t>VENTA AL CLIENTE</t>
        </is>
      </c>
      <c r="C4" s="4" t="n"/>
      <c r="D4" s="3" t="inlineStr">
        <is>
          <t>COT-2026-XXX</t>
        </is>
      </c>
      <c r="E4" s="4" t="n"/>
      <c r="F4" s="4" t="n"/>
      <c r="H4" s="5" t="inlineStr">
        <is>
          <t>IVA</t>
        </is>
      </c>
      <c r="I4" s="6" t="n"/>
    </row>
    <row r="5">
      <c r="B5" s="3" t="inlineStr">
        <is>
          <t>PRODUCTO</t>
        </is>
      </c>
      <c r="C5" s="3" t="inlineStr">
        <is>
          <t>CANTIDAD</t>
        </is>
      </c>
      <c r="D5" s="3" t="inlineStr">
        <is>
          <t>VALOR UNIDAD</t>
        </is>
      </c>
      <c r="E5" s="3" t="inlineStr">
        <is>
          <t>TOTAL</t>
        </is>
      </c>
      <c r="F5" s="7" t="n"/>
      <c r="H5" s="8" t="inlineStr">
        <is>
          <t>IVA COBRADO A CLIENTE</t>
        </is>
      </c>
      <c r="I5" s="9">
        <f>E15</f>
        <v/>
      </c>
    </row>
    <row r="6">
      <c r="B6" s="10" t="inlineStr"/>
      <c r="C6" s="11" t="n"/>
      <c r="D6" s="12" t="n"/>
      <c r="E6" s="13">
        <f>IF(C6="","",C6*D6)</f>
        <v/>
      </c>
      <c r="F6" s="8" t="n"/>
      <c r="H6" s="8" t="inlineStr">
        <is>
          <t>IVA PAGADO A PROVEEDOR</t>
        </is>
      </c>
      <c r="I6" s="9">
        <f>F51</f>
        <v/>
      </c>
    </row>
    <row r="7">
      <c r="B7" s="10" t="inlineStr"/>
      <c r="C7" s="11" t="n"/>
      <c r="D7" s="12" t="n"/>
      <c r="E7" s="13">
        <f>IF(C7="","",C7*D7)</f>
        <v/>
      </c>
      <c r="F7" s="8" t="n"/>
      <c r="H7" s="14" t="inlineStr">
        <is>
          <t>IVA QUE DEBEMOS GUARDAR PARA PAGAR A LA DIAN</t>
        </is>
      </c>
      <c r="I7" s="15">
        <f>I5-I6</f>
        <v/>
      </c>
    </row>
    <row r="8">
      <c r="B8" s="10" t="inlineStr"/>
      <c r="C8" s="11" t="n"/>
      <c r="D8" s="12" t="n"/>
      <c r="E8" s="13">
        <f>IF(C8="","",C8*D8)</f>
        <v/>
      </c>
      <c r="F8" s="8" t="n"/>
      <c r="H8" s="16" t="inlineStr">
        <is>
          <t>Esta plata no es nuestra. Se separa en cuenta aparte.</t>
        </is>
      </c>
    </row>
    <row r="9">
      <c r="B9" s="10" t="inlineStr"/>
      <c r="C9" s="11" t="n"/>
      <c r="D9" s="12" t="n"/>
      <c r="E9" s="13">
        <f>IF(C9="","",C9*D9)</f>
        <v/>
      </c>
      <c r="F9" s="8" t="n"/>
    </row>
    <row r="10">
      <c r="B10" s="10" t="inlineStr"/>
      <c r="C10" s="11" t="n"/>
      <c r="D10" s="12" t="n"/>
      <c r="E10" s="13">
        <f>IF(C10="","",C10*D10)</f>
        <v/>
      </c>
      <c r="F10" s="8" t="n"/>
      <c r="H10" s="5" t="inlineStr">
        <is>
          <t>SUB TOTAL UTILIDAD</t>
        </is>
      </c>
      <c r="I10" s="6" t="n"/>
      <c r="J10" s="6" t="n"/>
      <c r="K10" s="6" t="n"/>
    </row>
    <row r="11">
      <c r="B11" s="10" t="inlineStr"/>
      <c r="C11" s="11" t="n"/>
      <c r="D11" s="12" t="n"/>
      <c r="E11" s="13">
        <f>IF(C11="","",C11*D11)</f>
        <v/>
      </c>
      <c r="F11" s="8" t="n"/>
      <c r="H11" s="17" t="inlineStr">
        <is>
          <t>ITEM</t>
        </is>
      </c>
      <c r="I11" s="17" t="inlineStr">
        <is>
          <t>PRECIO CLIENTE</t>
        </is>
      </c>
      <c r="J11" s="17" t="inlineStr">
        <is>
          <t>PRECIO PROVEEDOR</t>
        </is>
      </c>
      <c r="K11" s="17" t="inlineStr">
        <is>
          <t>UTILIDAD</t>
        </is>
      </c>
    </row>
    <row r="12">
      <c r="B12" s="10" t="inlineStr"/>
      <c r="C12" s="11" t="n"/>
      <c r="D12" s="12" t="n"/>
      <c r="E12" s="13">
        <f>IF(C12="","",C12*D12)</f>
        <v/>
      </c>
      <c r="F12" s="8" t="n"/>
      <c r="H12" s="8">
        <f>IF(B6="","",B6)</f>
        <v/>
      </c>
      <c r="I12" s="13">
        <f>IF(B6="","",E6)</f>
        <v/>
      </c>
      <c r="J12" s="12" t="n"/>
      <c r="K12" s="13">
        <f>IF(I12="","",I12-N(J12))</f>
        <v/>
      </c>
    </row>
    <row r="13">
      <c r="B13" s="10" t="inlineStr"/>
      <c r="C13" s="11" t="n"/>
      <c r="D13" s="12" t="n"/>
      <c r="E13" s="13">
        <f>IF(C13="","",C13*D13)</f>
        <v/>
      </c>
      <c r="F13" s="8" t="n"/>
      <c r="H13" s="8">
        <f>IF(B7="","",B7)</f>
        <v/>
      </c>
      <c r="I13" s="13">
        <f>IF(B7="","",E7)</f>
        <v/>
      </c>
      <c r="J13" s="12" t="n"/>
      <c r="K13" s="13">
        <f>IF(I13="","",I13-N(J13))</f>
        <v/>
      </c>
    </row>
    <row r="14">
      <c r="B14" s="19" t="inlineStr">
        <is>
          <t>SUBTOTAL</t>
        </is>
      </c>
      <c r="C14" s="10" t="inlineStr"/>
      <c r="D14" s="10" t="inlineStr"/>
      <c r="E14" s="15">
        <f>SUM(E6:E13)</f>
        <v/>
      </c>
      <c r="F14" s="8" t="n"/>
      <c r="H14" s="8">
        <f>IF(B8="","",B8)</f>
        <v/>
      </c>
      <c r="I14" s="13">
        <f>IF(B8="","",E8)</f>
        <v/>
      </c>
      <c r="J14" s="12" t="n"/>
      <c r="K14" s="13">
        <f>IF(I14="","",I14-N(J14))</f>
        <v/>
      </c>
    </row>
    <row r="15">
      <c r="B15" s="19" t="inlineStr">
        <is>
          <t>IVA 19%</t>
        </is>
      </c>
      <c r="C15" s="10" t="inlineStr"/>
      <c r="D15" s="10" t="inlineStr"/>
      <c r="E15" s="9">
        <f>E14*0.19</f>
        <v/>
      </c>
      <c r="F15" s="20" t="n"/>
      <c r="H15" s="8">
        <f>IF(B9="","",B9)</f>
        <v/>
      </c>
      <c r="I15" s="13">
        <f>IF(B9="","",E9)</f>
        <v/>
      </c>
      <c r="J15" s="12" t="n"/>
      <c r="K15" s="13">
        <f>IF(I15="","",I15-N(J15))</f>
        <v/>
      </c>
    </row>
    <row r="16">
      <c r="B16" s="19" t="inlineStr">
        <is>
          <t>TOTAL FACTURADO</t>
        </is>
      </c>
      <c r="C16" s="10" t="inlineStr"/>
      <c r="D16" s="10" t="inlineStr"/>
      <c r="E16" s="15">
        <f>E14+E15</f>
        <v/>
      </c>
      <c r="F16" s="8" t="n"/>
      <c r="H16" s="8">
        <f>IF(B10="","",B10)</f>
        <v/>
      </c>
      <c r="I16" s="13">
        <f>IF(B10="","",E10)</f>
        <v/>
      </c>
      <c r="J16" s="12" t="n"/>
      <c r="K16" s="13">
        <f>IF(I16="","",I16-N(J16))</f>
        <v/>
      </c>
    </row>
    <row r="17">
      <c r="H17" s="8">
        <f>IF(B11="","",B11)</f>
        <v/>
      </c>
      <c r="I17" s="13">
        <f>IF(B11="","",E11)</f>
        <v/>
      </c>
      <c r="J17" s="12" t="n"/>
      <c r="K17" s="13">
        <f>IF(I17="","",I17-N(J17))</f>
        <v/>
      </c>
    </row>
    <row r="18">
      <c r="B18" s="21" t="inlineStr">
        <is>
          <t>COMPRAS Y COSTOS DE ESTA VENTA</t>
        </is>
      </c>
      <c r="C18" s="22" t="n"/>
      <c r="D18" s="22" t="n"/>
      <c r="E18" s="22" t="n"/>
      <c r="F18" s="22" t="n"/>
      <c r="H18" s="8">
        <f>IF(B12="","",B12)</f>
        <v/>
      </c>
      <c r="I18" s="13">
        <f>IF(B12="","",E12)</f>
        <v/>
      </c>
      <c r="J18" s="12" t="n"/>
      <c r="K18" s="13">
        <f>IF(I18="","",I18-N(J18))</f>
        <v/>
      </c>
    </row>
    <row r="19">
      <c r="B19" s="21" t="inlineStr">
        <is>
          <t>FACTURA Nº — NOMBRE DEL PROVEEDOR 1</t>
        </is>
      </c>
      <c r="C19" s="22" t="n"/>
      <c r="D19" s="22" t="n"/>
      <c r="E19" s="22" t="n"/>
      <c r="F19" s="22" t="n"/>
      <c r="H19" s="8">
        <f>IF(B13="","",B13)</f>
        <v/>
      </c>
      <c r="I19" s="13">
        <f>IF(B13="","",E13)</f>
        <v/>
      </c>
      <c r="J19" s="12" t="n"/>
      <c r="K19" s="13">
        <f>IF(I19="","",I19-N(J19))</f>
        <v/>
      </c>
    </row>
    <row r="20">
      <c r="B20" s="21" t="inlineStr">
        <is>
          <t>PRODUCTO</t>
        </is>
      </c>
      <c r="C20" s="21" t="inlineStr">
        <is>
          <t>CANTIDAD</t>
        </is>
      </c>
      <c r="D20" s="21" t="inlineStr">
        <is>
          <t>VALOR UNIDAD</t>
        </is>
      </c>
      <c r="E20" s="21" t="inlineStr">
        <is>
          <t>IVA UNIDAD</t>
        </is>
      </c>
      <c r="F20" s="21" t="inlineStr">
        <is>
          <t>SUB TOTAL</t>
        </is>
      </c>
      <c r="H20" s="14" t="inlineStr">
        <is>
          <t>TOTAL VENTA A CLIENTE</t>
        </is>
      </c>
      <c r="I20" s="15">
        <f>E14</f>
        <v/>
      </c>
      <c r="J20" s="8" t="inlineStr"/>
      <c r="K20" s="8" t="inlineStr"/>
    </row>
    <row r="21">
      <c r="B21" s="23" t="inlineStr"/>
      <c r="C21" s="24" t="n"/>
      <c r="D21" s="18" t="n"/>
      <c r="E21" s="25" t="n"/>
      <c r="F21" s="13">
        <f>IF(C21="","",C21*D21)</f>
        <v/>
      </c>
      <c r="H21" s="14" t="inlineStr">
        <is>
          <t>TOTAL COMPRA A PROVEEDOR</t>
        </is>
      </c>
      <c r="I21" s="8" t="inlineStr"/>
      <c r="J21" s="15">
        <f>F50</f>
        <v/>
      </c>
      <c r="K21" s="8" t="inlineStr"/>
    </row>
    <row r="22">
      <c r="B22" s="23" t="inlineStr"/>
      <c r="C22" s="24" t="n"/>
      <c r="D22" s="18" t="n"/>
      <c r="E22" s="25" t="n"/>
      <c r="F22" s="13">
        <f>IF(C22="","",C22*D22)</f>
        <v/>
      </c>
      <c r="H22" s="14" t="inlineStr">
        <is>
          <t>TOTAL UTILIDAD</t>
        </is>
      </c>
      <c r="I22" s="8" t="inlineStr"/>
      <c r="J22" s="8" t="inlineStr"/>
      <c r="K22" s="15">
        <f>E14-F50</f>
        <v/>
      </c>
    </row>
    <row r="23">
      <c r="B23" s="23" t="inlineStr"/>
      <c r="C23" s="24" t="n"/>
      <c r="D23" s="18" t="n"/>
      <c r="E23" s="25" t="n"/>
      <c r="F23" s="13">
        <f>IF(C23="","",C23*D23)</f>
        <v/>
      </c>
    </row>
    <row r="24">
      <c r="B24" s="23" t="inlineStr"/>
      <c r="C24" s="24" t="n"/>
      <c r="D24" s="18" t="n"/>
      <c r="E24" s="25" t="n"/>
      <c r="F24" s="13">
        <f>IF(C24="","",C24*D24)</f>
        <v/>
      </c>
      <c r="H24" s="5" t="inlineStr">
        <is>
          <t>IMPUESTOS</t>
        </is>
      </c>
      <c r="I24" s="6" t="n"/>
    </row>
    <row r="25">
      <c r="B25" s="23" t="inlineStr"/>
      <c r="C25" s="23" t="inlineStr"/>
      <c r="D25" s="23" t="inlineStr"/>
      <c r="E25" s="26" t="inlineStr">
        <is>
          <t>SUB TOTAL</t>
        </is>
      </c>
      <c r="F25" s="15">
        <f>SUM(F21:F24)</f>
        <v/>
      </c>
      <c r="H25" s="8" t="inlineStr">
        <is>
          <t>TOTAL VENDIDO AL CLIENTE</t>
        </is>
      </c>
      <c r="I25" s="13">
        <f>E14</f>
        <v/>
      </c>
    </row>
    <row r="26">
      <c r="B26" s="23" t="inlineStr"/>
      <c r="C26" s="23" t="inlineStr"/>
      <c r="D26" s="23" t="inlineStr"/>
      <c r="E26" s="26" t="inlineStr">
        <is>
          <t>IVA</t>
        </is>
      </c>
      <c r="F26" s="15">
        <f>SUMPRODUCT(C21:C24,E21:E24)</f>
        <v/>
      </c>
      <c r="H26" s="8" t="inlineStr">
        <is>
          <t>5% DE IMPUESTO (Régimen Simple)</t>
        </is>
      </c>
      <c r="I26" s="13">
        <f>I25*0.05</f>
        <v/>
      </c>
    </row>
    <row r="27">
      <c r="B27" s="23" t="inlineStr"/>
      <c r="C27" s="23" t="inlineStr"/>
      <c r="D27" s="23" t="inlineStr"/>
      <c r="E27" s="26" t="inlineStr">
        <is>
          <t>TOTAL PAGADO</t>
        </is>
      </c>
      <c r="F27" s="15">
        <f>F25+F26</f>
        <v/>
      </c>
      <c r="H27" s="8" t="inlineStr">
        <is>
          <t>RETENCIONES REALIZADAS POR EL CLIENTE</t>
        </is>
      </c>
      <c r="I27" s="12" t="n"/>
    </row>
    <row r="28">
      <c r="H28" s="14" t="inlineStr">
        <is>
          <t>VALOR A SEPARAR PARA PAGAR IMPUESTOS</t>
        </is>
      </c>
      <c r="I28" s="15">
        <f>I26-N(I27)</f>
        <v/>
      </c>
    </row>
    <row r="29">
      <c r="B29" s="21" t="inlineStr">
        <is>
          <t>FACTURA Nº — NOMBRE DEL PROVEEDOR 2</t>
        </is>
      </c>
      <c r="C29" s="22" t="n"/>
      <c r="D29" s="22" t="n"/>
      <c r="E29" s="22" t="n"/>
      <c r="F29" s="22" t="n"/>
    </row>
    <row r="30">
      <c r="B30" s="21" t="inlineStr">
        <is>
          <t>PRODUCTO</t>
        </is>
      </c>
      <c r="C30" s="21" t="inlineStr">
        <is>
          <t>CANTIDAD</t>
        </is>
      </c>
      <c r="D30" s="21" t="inlineStr">
        <is>
          <t>VALOR UNIDAD</t>
        </is>
      </c>
      <c r="E30" s="21" t="inlineStr">
        <is>
          <t>IVA UNIDAD</t>
        </is>
      </c>
      <c r="F30" s="21" t="inlineStr">
        <is>
          <t>SUB TOTAL</t>
        </is>
      </c>
      <c r="H30" s="5" t="inlineStr">
        <is>
          <t>UTILIDAD</t>
        </is>
      </c>
      <c r="I30" s="6" t="n"/>
    </row>
    <row r="31">
      <c r="B31" s="23" t="inlineStr"/>
      <c r="C31" s="24" t="n"/>
      <c r="D31" s="18" t="n"/>
      <c r="E31" s="25" t="n"/>
      <c r="F31" s="13">
        <f>IF(C31="","",C31*D31)</f>
        <v/>
      </c>
      <c r="H31" s="8" t="inlineStr">
        <is>
          <t>TOTAL VENDIDO</t>
        </is>
      </c>
      <c r="I31" s="13">
        <f>E14</f>
        <v/>
      </c>
    </row>
    <row r="32">
      <c r="B32" s="23" t="inlineStr"/>
      <c r="C32" s="24" t="n"/>
      <c r="D32" s="18" t="n"/>
      <c r="E32" s="25" t="n"/>
      <c r="F32" s="13">
        <f>IF(C32="","",C32*D32)</f>
        <v/>
      </c>
      <c r="H32" s="8" t="inlineStr">
        <is>
          <t>TOTAL PAGADO</t>
        </is>
      </c>
      <c r="I32" s="13">
        <f>F50</f>
        <v/>
      </c>
    </row>
    <row r="33">
      <c r="B33" s="23" t="inlineStr"/>
      <c r="C33" s="24" t="n"/>
      <c r="D33" s="18" t="n"/>
      <c r="E33" s="25" t="n"/>
      <c r="F33" s="13">
        <f>IF(C33="","",C33*D33)</f>
        <v/>
      </c>
      <c r="H33" s="8" t="inlineStr">
        <is>
          <t>SUBTOTAL UTILIDAD</t>
        </is>
      </c>
      <c r="I33" s="13">
        <f>I31-I32</f>
        <v/>
      </c>
    </row>
    <row r="34">
      <c r="B34" s="23" t="inlineStr"/>
      <c r="C34" s="24" t="n"/>
      <c r="D34" s="18" t="n"/>
      <c r="E34" s="25" t="n"/>
      <c r="F34" s="13">
        <f>IF(C34="","",C34*D34)</f>
        <v/>
      </c>
      <c r="H34" s="8" t="inlineStr">
        <is>
          <t>IMPUESTOS</t>
        </is>
      </c>
      <c r="I34" s="13">
        <f>I26</f>
        <v/>
      </c>
    </row>
    <row r="35">
      <c r="B35" s="23" t="inlineStr"/>
      <c r="C35" s="23" t="inlineStr"/>
      <c r="D35" s="23" t="inlineStr"/>
      <c r="E35" s="26" t="inlineStr">
        <is>
          <t>SUB TOTAL</t>
        </is>
      </c>
      <c r="F35" s="15">
        <f>SUM(F31:F34)</f>
        <v/>
      </c>
      <c r="H35" s="27" t="inlineStr">
        <is>
          <t>TOTAL UTILIDAD</t>
        </is>
      </c>
      <c r="I35" s="28">
        <f>I33-I34</f>
        <v/>
      </c>
    </row>
    <row r="36">
      <c r="B36" s="23" t="inlineStr"/>
      <c r="C36" s="23" t="inlineStr"/>
      <c r="D36" s="23" t="inlineStr"/>
      <c r="E36" s="26" t="inlineStr">
        <is>
          <t>IVA</t>
        </is>
      </c>
      <c r="F36" s="15">
        <f>SUMPRODUCT(C31:C34,E31:E34)</f>
        <v/>
      </c>
      <c r="H36" s="8" t="inlineStr">
        <is>
          <t>MARGEN NETO SOBRE LA VENTA</t>
        </is>
      </c>
      <c r="I36" s="29">
        <f>IF(I31=0,"",I35/I31)</f>
        <v/>
      </c>
    </row>
    <row r="37">
      <c r="B37" s="23" t="inlineStr"/>
      <c r="C37" s="23" t="inlineStr"/>
      <c r="D37" s="23" t="inlineStr"/>
      <c r="E37" s="26" t="inlineStr">
        <is>
          <t>TOTAL PAGADO</t>
        </is>
      </c>
      <c r="F37" s="15">
        <f>F35+F36</f>
        <v/>
      </c>
    </row>
    <row r="38">
      <c r="H38" s="30" t="inlineStr">
        <is>
          <t>DINERO QUE HAY QUE SEPARAR (NO ES NUESTRO)</t>
        </is>
      </c>
      <c r="I38" s="31" t="n"/>
    </row>
    <row r="39">
      <c r="B39" s="32" t="inlineStr">
        <is>
          <t>OTROS COSTOS SIN FACTURA (hacer documento soporte)</t>
        </is>
      </c>
      <c r="C39" s="33" t="n"/>
      <c r="D39" s="33" t="n"/>
      <c r="E39" s="33" t="n"/>
      <c r="F39" s="33" t="n"/>
      <c r="H39" s="8" t="inlineStr">
        <is>
          <t>IVA para la DIAN</t>
        </is>
      </c>
      <c r="I39" s="13">
        <f>I7</f>
        <v/>
      </c>
    </row>
    <row r="40">
      <c r="B40" s="32" t="inlineStr">
        <is>
          <t>PRODUCTO</t>
        </is>
      </c>
      <c r="C40" s="32" t="inlineStr">
        <is>
          <t>CANTIDAD</t>
        </is>
      </c>
      <c r="D40" s="32" t="inlineStr">
        <is>
          <t>VALOR UNIDAD</t>
        </is>
      </c>
      <c r="E40" s="32" t="inlineStr">
        <is>
          <t>IVA UNIDAD</t>
        </is>
      </c>
      <c r="F40" s="32" t="inlineStr">
        <is>
          <t>SUB TOTAL</t>
        </is>
      </c>
      <c r="H40" s="8" t="inlineStr">
        <is>
          <t>Impuesto Simple pendiente</t>
        </is>
      </c>
      <c r="I40" s="13">
        <f>I28</f>
        <v/>
      </c>
    </row>
    <row r="41">
      <c r="B41" s="34" t="inlineStr"/>
      <c r="C41" s="35" t="n"/>
      <c r="D41" s="36" t="n"/>
      <c r="E41" s="37" t="n"/>
      <c r="F41" s="13">
        <f>IF(C41="","",C41*D41)</f>
        <v/>
      </c>
      <c r="H41" s="38" t="inlineStr">
        <is>
          <t>TOTAL A SEPARAR</t>
        </is>
      </c>
      <c r="I41" s="39">
        <f>I39+I40</f>
        <v/>
      </c>
    </row>
    <row r="42">
      <c r="B42" s="34" t="inlineStr"/>
      <c r="C42" s="35" t="n"/>
      <c r="D42" s="36" t="n"/>
      <c r="E42" s="37" t="n"/>
      <c r="F42" s="13">
        <f>IF(C42="","",C42*D42)</f>
        <v/>
      </c>
      <c r="H42" s="27" t="inlineStr">
        <is>
          <t>UTILIDAD LIBRE PARA LOS SOCIOS</t>
        </is>
      </c>
      <c r="I42" s="28">
        <f>I35</f>
        <v/>
      </c>
    </row>
    <row r="43">
      <c r="B43" s="34" t="inlineStr"/>
      <c r="C43" s="35" t="n"/>
      <c r="D43" s="36" t="n"/>
      <c r="E43" s="37" t="n"/>
      <c r="F43" s="13">
        <f>IF(C43="","",C43*D43)</f>
        <v/>
      </c>
    </row>
    <row r="44">
      <c r="B44" s="34" t="inlineStr"/>
      <c r="C44" s="35" t="n"/>
      <c r="D44" s="36" t="n"/>
      <c r="E44" s="37" t="n"/>
      <c r="F44" s="13">
        <f>IF(C44="","",C44*D44)</f>
        <v/>
      </c>
    </row>
    <row r="45">
      <c r="B45" s="34" t="inlineStr"/>
      <c r="C45" s="34" t="inlineStr"/>
      <c r="D45" s="34" t="inlineStr"/>
      <c r="E45" s="40" t="inlineStr">
        <is>
          <t>SUB TOTAL</t>
        </is>
      </c>
      <c r="F45" s="15">
        <f>SUM(F41:F44)</f>
        <v/>
      </c>
    </row>
    <row r="46">
      <c r="B46" s="34" t="inlineStr"/>
      <c r="C46" s="34" t="inlineStr"/>
      <c r="D46" s="34" t="inlineStr"/>
      <c r="E46" s="40" t="inlineStr">
        <is>
          <t>IVA</t>
        </is>
      </c>
      <c r="F46" s="15">
        <f>SUMPRODUCT(C41:C44,E41:E44)</f>
        <v/>
      </c>
    </row>
    <row r="47">
      <c r="B47" s="34" t="inlineStr"/>
      <c r="C47" s="34" t="inlineStr"/>
      <c r="D47" s="34" t="inlineStr"/>
      <c r="E47" s="40" t="inlineStr">
        <is>
          <t>TOTAL PAGADO</t>
        </is>
      </c>
      <c r="F47" s="15">
        <f>F45+F46</f>
        <v/>
      </c>
    </row>
    <row r="49">
      <c r="B49" s="21" t="inlineStr">
        <is>
          <t>TOTAL COMPRAS Y COSTOS</t>
        </is>
      </c>
      <c r="C49" s="22" t="n"/>
      <c r="D49" s="22" t="n"/>
      <c r="E49" s="22" t="n"/>
      <c r="F49" s="22" t="n"/>
    </row>
    <row r="50">
      <c r="B50" s="23" t="inlineStr"/>
      <c r="C50" s="23" t="inlineStr"/>
      <c r="D50" s="23" t="inlineStr"/>
      <c r="E50" s="26" t="inlineStr">
        <is>
          <t>SUB TOTAL</t>
        </is>
      </c>
      <c r="F50" s="15">
        <f>F25+F35+F45</f>
        <v/>
      </c>
    </row>
    <row r="51">
      <c r="B51" s="23" t="inlineStr"/>
      <c r="C51" s="23" t="inlineStr"/>
      <c r="D51" s="23" t="inlineStr"/>
      <c r="E51" s="26" t="inlineStr">
        <is>
          <t>TOTAL IVA</t>
        </is>
      </c>
      <c r="F51" s="9">
        <f>F26+F36+F46</f>
        <v/>
      </c>
    </row>
    <row r="52">
      <c r="B52" s="23" t="inlineStr"/>
      <c r="C52" s="23" t="inlineStr"/>
      <c r="D52" s="23" t="inlineStr"/>
      <c r="E52" s="26" t="inlineStr">
        <is>
          <t>TOTAL PAGADO</t>
        </is>
      </c>
      <c r="F52" s="15">
        <f>F27+F37+F47</f>
        <v/>
      </c>
    </row>
  </sheetData>
  <mergeCells count="27">
    <mergeCell ref="E12:F12"/>
    <mergeCell ref="H38:I38"/>
    <mergeCell ref="E5:F5"/>
    <mergeCell ref="E14:F14"/>
    <mergeCell ref="H4:I4"/>
    <mergeCell ref="E8:F8"/>
    <mergeCell ref="B18:F18"/>
    <mergeCell ref="B39:F39"/>
    <mergeCell ref="E10:F10"/>
    <mergeCell ref="D4:F4"/>
    <mergeCell ref="E13:F13"/>
    <mergeCell ref="E9:F9"/>
    <mergeCell ref="H10:K10"/>
    <mergeCell ref="B29:F29"/>
    <mergeCell ref="E6:F6"/>
    <mergeCell ref="E15:F15"/>
    <mergeCell ref="E11:F11"/>
    <mergeCell ref="B19:F19"/>
    <mergeCell ref="B2:K2"/>
    <mergeCell ref="B49:F49"/>
    <mergeCell ref="B1:K1"/>
    <mergeCell ref="E16:F16"/>
    <mergeCell ref="E7:F7"/>
    <mergeCell ref="H24:I24"/>
    <mergeCell ref="H8:I8"/>
    <mergeCell ref="B4:C4"/>
    <mergeCell ref="H30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5" customWidth="1" min="3" max="3"/>
  </cols>
  <sheetData>
    <row r="1" ht="24" customHeight="1">
      <c r="B1" s="1" t="inlineStr">
        <is>
          <t>CÓMO USAR ESTA PLANTILLA</t>
        </is>
      </c>
    </row>
    <row r="3">
      <c r="B3" s="41" t="inlineStr">
        <is>
          <t>PASO</t>
        </is>
      </c>
      <c r="C3" s="42" t="inlineStr">
        <is>
          <t>QUÉ HACER</t>
        </is>
      </c>
    </row>
    <row r="4" ht="17" customHeight="1">
      <c r="B4" s="43" t="inlineStr">
        <is>
          <t>1. Duplicar la hoja</t>
        </is>
      </c>
      <c r="C4" s="44" t="inlineStr">
        <is>
          <t>Click derecho en la pestaña PLANTILLA VACIA → Mover o copiar → marcar 'Crear una copia'. Renómbrala con el número de la cotización.</t>
        </is>
      </c>
    </row>
    <row r="5" ht="17" customHeight="1">
      <c r="B5" s="43" t="inlineStr">
        <is>
          <t>2. Llenar la VENTA (verde)</t>
        </is>
      </c>
      <c r="C5" s="44" t="inlineStr">
        <is>
          <t>Escribe producto, cantidad y valor unidad. El TOTAL, SUBTOTAL, IVA y TOTAL FACTURADO se calculan solos.</t>
        </is>
      </c>
    </row>
    <row r="6" ht="17" customHeight="1">
      <c r="B6" s="43" t="inlineStr">
        <is>
          <t>3. Llenar las COMPRAS (morado)</t>
        </is>
      </c>
      <c r="C6" s="44" t="inlineStr">
        <is>
          <t>Un bloque por cada factura de proveedor. Escribe el número de factura y el nombre en el título del bloque.</t>
        </is>
      </c>
    </row>
    <row r="7" ht="17" customHeight="1">
      <c r="B7" s="43" t="inlineStr">
        <is>
          <t>4. Costos sin factura (naranja)</t>
        </is>
      </c>
      <c r="C7" s="44" t="inlineStr">
        <is>
          <t>El bloque naranja es para pagos a personas sin factura (fletes, ayudantes). Deja el IVA en 0.</t>
        </is>
      </c>
    </row>
    <row r="8" ht="17" customHeight="1">
      <c r="B8" s="43" t="inlineStr">
        <is>
          <t>5. Precio proveedor</t>
        </is>
      </c>
      <c r="C8" s="44" t="inlineStr">
        <is>
          <t>En la tabla SUB TOTAL UTILIDAD, columna PRECIO PROVEEDOR, escribe cuánto te costó cada ítem sin IVA.</t>
        </is>
      </c>
    </row>
    <row r="9" ht="17" customHeight="1">
      <c r="B9" s="43" t="inlineStr">
        <is>
          <t>6. Retenciones</t>
        </is>
      </c>
      <c r="C9" s="44" t="inlineStr">
        <is>
          <t>En la tabla IMPUESTOS escribe la retención que te aplicó el cliente. Si no te retuvieron, deja 0.</t>
        </is>
      </c>
    </row>
    <row r="10" ht="17" customHeight="1">
      <c r="B10" s="43" t="inlineStr">
        <is>
          <t>7. Leer los resultados</t>
        </is>
      </c>
      <c r="C10" s="44" t="inlineStr">
        <is>
          <t>Todo lo demás se calcula automáticamente. Los dos números clave están abajo a la derecha.</t>
        </is>
      </c>
    </row>
    <row r="12">
      <c r="B12" s="41" t="inlineStr">
        <is>
          <t>CÓDIGO DE COLORES</t>
        </is>
      </c>
      <c r="C12" s="42" t="inlineStr"/>
    </row>
    <row r="13">
      <c r="B13" s="19" t="inlineStr">
        <is>
          <t>Verde</t>
        </is>
      </c>
      <c r="C13" s="43" t="inlineStr">
        <is>
          <t>Datos de la venta. Aquí escribes tú.</t>
        </is>
      </c>
    </row>
    <row r="14">
      <c r="B14" s="26" t="inlineStr">
        <is>
          <t>Morado</t>
        </is>
      </c>
      <c r="C14" s="43" t="inlineStr">
        <is>
          <t>Datos de las compras con factura. Aquí escribes tú.</t>
        </is>
      </c>
    </row>
    <row r="15">
      <c r="B15" s="40" t="inlineStr">
        <is>
          <t>Naranja</t>
        </is>
      </c>
      <c r="C15" s="43" t="inlineStr">
        <is>
          <t>Costos sin factura o sin soporte. Aquí escribes tú.</t>
        </is>
      </c>
    </row>
    <row r="16">
      <c r="B16" s="45" t="inlineStr">
        <is>
          <t>Amarillo</t>
        </is>
      </c>
      <c r="C16" s="43" t="inlineStr">
        <is>
          <t>Valores de IVA. Se calculan solos. Ojo: no es plata nuestra.</t>
        </is>
      </c>
    </row>
    <row r="17">
      <c r="B17" s="27" t="inlineStr">
        <is>
          <t>Verde oscuro</t>
        </is>
      </c>
      <c r="C17" s="43" t="inlineStr">
        <is>
          <t>Resultado final: la utilidad.</t>
        </is>
      </c>
    </row>
    <row r="18">
      <c r="B18" s="14" t="inlineStr">
        <is>
          <t>Blanco con borde</t>
        </is>
      </c>
      <c r="C18" s="43" t="inlineStr">
        <is>
          <t>Se calcula solo. No lo toques.</t>
        </is>
      </c>
    </row>
    <row r="20">
      <c r="B20" s="41" t="inlineStr">
        <is>
          <t>LOS 3 NÚMEROS QUE IMPORTAN</t>
        </is>
      </c>
      <c r="C20" s="42" t="inlineStr"/>
    </row>
    <row r="21" ht="17" customHeight="1">
      <c r="B21" s="46" t="inlineStr">
        <is>
          <t>TOTAL UTILIDAD</t>
        </is>
      </c>
      <c r="C21" s="44" t="inlineStr">
        <is>
          <t>Lo que gana la empresa después de restar compras e impuesto Simple. Es la plata libre.</t>
        </is>
      </c>
    </row>
    <row r="22" ht="17" customHeight="1">
      <c r="B22" s="46" t="inlineStr">
        <is>
          <t>IVA A GUARDAR PARA LA DIAN</t>
        </is>
      </c>
      <c r="C22" s="44" t="inlineStr">
        <is>
          <t>Plata que recogimos del cliente y hay que entregarle a la DIAN. Separar de inmediato.</t>
        </is>
      </c>
    </row>
    <row r="23" ht="17" customHeight="1">
      <c r="B23" s="46" t="inlineStr">
        <is>
          <t>TOTAL A SEPARAR</t>
        </is>
      </c>
      <c r="C23" s="44" t="inlineStr">
        <is>
          <t>IVA + impuesto Simple pendiente. Todo eso sale de la cuenta más adelante.</t>
        </is>
      </c>
    </row>
    <row r="26">
      <c r="B26" s="41" t="inlineStr">
        <is>
          <t>REGLAS QUE APRENDIMOS</t>
        </is>
      </c>
      <c r="C26" s="42" t="inlineStr"/>
    </row>
    <row r="27" ht="17" customHeight="1">
      <c r="B27" s="46" t="inlineStr">
        <is>
          <t>Flete</t>
        </is>
      </c>
      <c r="C27" s="44" t="inlineStr">
        <is>
          <t>Cobrarlo siempre 20-30% por encima de lo que nos cuesta. En COT-2026-012 perdimos $20.000.</t>
        </is>
      </c>
    </row>
    <row r="28" ht="17" customHeight="1">
      <c r="B28" s="46" t="inlineStr">
        <is>
          <t>Pagos sin factura</t>
        </is>
      </c>
      <c r="C28" s="44" t="inlineStr">
        <is>
          <t>Pedir siempre nombre y cédula para hacer documento soporte. Sin eso el gasto no es deducible.</t>
        </is>
      </c>
    </row>
    <row r="29" ht="17" customHeight="1">
      <c r="B29" s="46" t="inlineStr">
        <is>
          <t>IVA</t>
        </is>
      </c>
      <c r="C29" s="44" t="inlineStr">
        <is>
          <t>Nunca se mezcla con la utilidad. Es dinero en tránsito hacia la DIAN.</t>
        </is>
      </c>
    </row>
    <row r="30" ht="17" customHeight="1">
      <c r="B30" s="46" t="inlineStr">
        <is>
          <t>Retenciones</t>
        </is>
      </c>
      <c r="C30" s="44" t="inlineStr">
        <is>
          <t>No son pérdida. Son anticipo del impuesto: bajan lo que hay que pagar después.</t>
        </is>
      </c>
    </row>
    <row r="31" ht="17" customHeight="1">
      <c r="B31" s="46" t="inlineStr">
        <is>
          <t>Margen mínimo</t>
        </is>
      </c>
      <c r="C31" s="44" t="inlineStr">
        <is>
          <t>No vender por debajo de 30% de margen bruto.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2026-08-03T04:29:49Z</dcterms:created>
  <dcterms:modified xsi:type="dcterms:W3CDTF">2026-08-03T04:29:49Z</dcterms:modified>
</cp:coreProperties>
</file>