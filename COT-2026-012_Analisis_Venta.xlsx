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VENTA COT-2026-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0"/>
    </font>
    <font>
      <name val="Calibri"/>
      <i val="1"/>
      <sz val="10"/>
    </font>
    <font>
      <name val="Calibri"/>
      <color rgb="00FF0000"/>
      <sz val="10"/>
    </font>
    <font>
      <name val="Calibri"/>
      <color rgb="00008000"/>
      <sz val="10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3" fontId="3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3" borderId="0" pivotButton="0" quotePrefix="0" xfId="0"/>
    <xf numFmtId="3" fontId="7" fillId="3" borderId="0" pivotButton="0" quotePrefix="0" xfId="0"/>
    <xf numFmtId="0" fontId="6" fillId="0" borderId="0" pivotButton="0" quotePrefix="0" xfId="0"/>
    <xf numFmtId="0" fontId="2" fillId="6" borderId="0" pivotButton="0" quotePrefix="0" xfId="0"/>
    <xf numFmtId="3" fontId="5" fillId="0" borderId="0" pivotButton="0" quotePrefix="0" xfId="0"/>
    <xf numFmtId="3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ABASTECER EMPRESARIAL S.A.S.</t>
        </is>
      </c>
    </row>
    <row r="2">
      <c r="A2" s="2" t="inlineStr">
        <is>
          <t>ANÁLISIS COMPLETO DE VENTA — COT-2026-012</t>
        </is>
      </c>
    </row>
    <row r="3">
      <c r="A3" s="3" t="inlineStr">
        <is>
          <t>Cliente: EVOLTI COMPANY SAS BIC</t>
        </is>
      </c>
    </row>
    <row r="4">
      <c r="A4" s="3" t="inlineStr">
        <is>
          <t>Fecha: 29/07/2026 | Primera venta de la empresa</t>
        </is>
      </c>
    </row>
    <row r="5">
      <c r="A5" s="3" t="inlineStr">
        <is>
          <t>Preparado para: Laura (Socia)</t>
        </is>
      </c>
    </row>
    <row r="7">
      <c r="A7" s="3" t="inlineStr">
        <is>
          <t>═══════════════════════════════════════</t>
        </is>
      </c>
    </row>
    <row r="8">
      <c r="A8" s="2" t="inlineStr">
        <is>
          <t>1. QUÉ LE VENDIMOS AL CLIENTE</t>
        </is>
      </c>
    </row>
    <row r="9">
      <c r="A9" s="4" t="inlineStr">
        <is>
          <t>Producto</t>
        </is>
      </c>
      <c r="B9" s="4" t="inlineStr">
        <is>
          <t>Cant.</t>
        </is>
      </c>
      <c r="C9" s="4" t="inlineStr">
        <is>
          <t>Precio Unit.</t>
        </is>
      </c>
      <c r="D9" s="4" t="inlineStr">
        <is>
          <t>Subtotal</t>
        </is>
      </c>
      <c r="E9" s="4" t="inlineStr">
        <is>
          <t>IVA (19%)</t>
        </is>
      </c>
    </row>
    <row r="10">
      <c r="A10" s="3" t="inlineStr">
        <is>
          <t>Canasta Plástica Pequeña 31x20x11</t>
        </is>
      </c>
      <c r="B10" s="3" t="n">
        <v>60</v>
      </c>
      <c r="C10" s="5" t="n">
        <v>8000</v>
      </c>
      <c r="D10" s="5" t="n">
        <v>480000</v>
      </c>
      <c r="E10" s="5" t="n">
        <v>91200</v>
      </c>
    </row>
    <row r="11">
      <c r="A11" s="3" t="inlineStr">
        <is>
          <t>Canastilla Tipo Fruver 60x40x25 Lisa</t>
        </is>
      </c>
      <c r="B11" s="3" t="n">
        <v>20</v>
      </c>
      <c r="C11" s="5" t="n">
        <v>38000</v>
      </c>
      <c r="D11" s="5" t="n">
        <v>760000</v>
      </c>
      <c r="E11" s="5" t="n">
        <v>144400</v>
      </c>
    </row>
    <row r="12">
      <c r="A12" s="3" t="inlineStr">
        <is>
          <t>Flete / Transporte</t>
        </is>
      </c>
      <c r="B12" s="3" t="n">
        <v>1</v>
      </c>
      <c r="C12" s="5" t="n">
        <v>40000</v>
      </c>
      <c r="D12" s="5" t="n">
        <v>40000</v>
      </c>
      <c r="E12" s="5" t="n">
        <v>7600</v>
      </c>
    </row>
    <row r="13">
      <c r="A13" s="6" t="inlineStr">
        <is>
          <t>TOTAL VENTA (sin IVA)</t>
        </is>
      </c>
      <c r="D13" s="7" t="n">
        <v>1280000</v>
      </c>
      <c r="E13" s="7" t="n">
        <v>243200</v>
      </c>
    </row>
    <row r="14">
      <c r="A14" s="6" t="inlineStr">
        <is>
          <t>TOTAL FACTURADO (con IVA)</t>
        </is>
      </c>
      <c r="D14" s="7" t="n">
        <v>1523200</v>
      </c>
    </row>
    <row r="17">
      <c r="A17" s="3" t="inlineStr">
        <is>
          <t>═══════════════════════════════════════</t>
        </is>
      </c>
    </row>
    <row r="18">
      <c r="A18" s="2" t="inlineStr">
        <is>
          <t>2. QUÉ NOS COSTÓ (COMPRAS + FLETE)</t>
        </is>
      </c>
    </row>
    <row r="19">
      <c r="A19" s="8" t="inlineStr">
        <is>
          <t>Proveedor</t>
        </is>
      </c>
      <c r="B19" s="8" t="inlineStr">
        <is>
          <t>Producto</t>
        </is>
      </c>
      <c r="C19" s="8" t="inlineStr">
        <is>
          <t>Subtotal</t>
        </is>
      </c>
      <c r="D19" s="8" t="inlineStr">
        <is>
          <t>IVA</t>
        </is>
      </c>
      <c r="E19" s="8" t="inlineStr">
        <is>
          <t>Total</t>
        </is>
      </c>
    </row>
    <row r="20">
      <c r="A20" s="3" t="inlineStr">
        <is>
          <t>El Palacio del Hogar</t>
        </is>
      </c>
      <c r="B20" s="3" t="inlineStr">
        <is>
          <t>60 Canastas Pequeñas</t>
        </is>
      </c>
      <c r="C20" s="5" t="n">
        <v>196639</v>
      </c>
      <c r="D20" s="5" t="n">
        <v>37361</v>
      </c>
      <c r="E20" s="5" t="n">
        <v>234000</v>
      </c>
    </row>
    <row r="21">
      <c r="A21" s="3" t="inlineStr">
        <is>
          <t>La Bodega de los Tarros</t>
        </is>
      </c>
      <c r="B21" s="3" t="inlineStr">
        <is>
          <t>20 Canastillas Lisa</t>
        </is>
      </c>
      <c r="C21" s="5" t="n">
        <v>400000</v>
      </c>
      <c r="D21" s="5" t="n">
        <v>76000</v>
      </c>
      <c r="E21" s="5" t="n">
        <v>476000</v>
      </c>
    </row>
    <row r="22">
      <c r="A22" s="3" t="inlineStr">
        <is>
          <t>Señor del camión (SIN FACTURA)</t>
        </is>
      </c>
      <c r="B22" s="3" t="inlineStr">
        <is>
          <t>Flete</t>
        </is>
      </c>
      <c r="C22" s="5" t="n">
        <v>60000</v>
      </c>
      <c r="D22" s="5" t="n">
        <v>0</v>
      </c>
      <c r="E22" s="5" t="n">
        <v>60000</v>
      </c>
    </row>
    <row r="23">
      <c r="A23" s="9" t="inlineStr">
        <is>
          <t>TOTAL COSTOS</t>
        </is>
      </c>
      <c r="C23" s="10" t="n">
        <v>656639</v>
      </c>
      <c r="D23" s="10" t="n">
        <v>113361</v>
      </c>
      <c r="E23" s="10" t="n">
        <v>770000</v>
      </c>
    </row>
    <row r="26">
      <c r="A26" s="3" t="inlineStr">
        <is>
          <t>═══════════════════════════════════════</t>
        </is>
      </c>
    </row>
    <row r="27">
      <c r="A27" s="2" t="inlineStr">
        <is>
          <t>3. UTILIDAD — ¿CUÁNTO GANAMOS?</t>
        </is>
      </c>
    </row>
    <row r="29">
      <c r="A29" s="3" t="inlineStr">
        <is>
          <t>Vendimos por (sin IVA):</t>
        </is>
      </c>
      <c r="B29" s="5" t="n">
        <v>1280000</v>
      </c>
    </row>
    <row r="30">
      <c r="A30" s="3" t="inlineStr">
        <is>
          <t>(-) Nos costó:</t>
        </is>
      </c>
      <c r="B30" s="5" t="n">
        <v>656639</v>
      </c>
    </row>
    <row r="31">
      <c r="A31" s="6">
        <f> UTILIDAD BRUTA</f>
        <v/>
      </c>
      <c r="B31" s="7" t="n">
        <v>623361</v>
      </c>
      <c r="C31" s="11" t="inlineStr">
        <is>
          <t>← Ganancia antes de impuestos</t>
        </is>
      </c>
    </row>
    <row r="33">
      <c r="A33" s="12" t="inlineStr">
        <is>
          <t>Ahora restamos impuestos (plata que NO es nuestra):</t>
        </is>
      </c>
    </row>
    <row r="34">
      <c r="A34" s="3" t="inlineStr">
        <is>
          <t>(-) IVA que debemos a la DIAN</t>
        </is>
      </c>
      <c r="B34" s="5" t="n">
        <v>129839</v>
      </c>
    </row>
    <row r="35">
      <c r="A35" s="3" t="inlineStr">
        <is>
          <t>(-) Impuesto Simple (5%)</t>
        </is>
      </c>
      <c r="B35" s="5" t="n">
        <v>64000</v>
      </c>
    </row>
    <row r="36">
      <c r="A36" s="3" t="inlineStr">
        <is>
          <t>(+) Retenciones que nos hizo Evolti</t>
        </is>
      </c>
      <c r="B36" s="13" t="n">
        <v>36480</v>
      </c>
      <c r="C36" s="11" t="inlineStr">
        <is>
          <t>← Esto ya lo pagamos, se descuenta</t>
        </is>
      </c>
    </row>
    <row r="38">
      <c r="A38" s="14">
        <f> UTILIDAD NETA (LO QUE REALMENTE QUEDA)</f>
        <v/>
      </c>
      <c r="B38" s="15" t="n">
        <v>466002</v>
      </c>
    </row>
    <row r="39">
      <c r="A39" s="16" t="inlineStr">
        <is>
          <t>Esto es el 36.4% de lo que vendimos. EXCELENTE para primera venta.</t>
        </is>
      </c>
    </row>
    <row r="42">
      <c r="A42" s="3" t="inlineStr">
        <is>
          <t>═══════════════════════════════════════</t>
        </is>
      </c>
    </row>
    <row r="43">
      <c r="A43" s="2" t="inlineStr">
        <is>
          <t>4. IVA — DINERO QUE DEBEMOS SEPARAR</t>
        </is>
      </c>
    </row>
    <row r="44">
      <c r="A44" s="12" t="inlineStr">
        <is>
          <t>Este dinero NO es nuestro. Es de la DIAN.</t>
        </is>
      </c>
    </row>
    <row r="46">
      <c r="A46" s="3" t="inlineStr">
        <is>
          <t>IVA cobrado al cliente:</t>
        </is>
      </c>
      <c r="B46" s="5" t="n">
        <v>243200</v>
      </c>
    </row>
    <row r="47">
      <c r="A47" s="3" t="inlineStr">
        <is>
          <t>(-) IVA pagado a proveedores:</t>
        </is>
      </c>
      <c r="B47" s="5" t="n">
        <v>113361</v>
      </c>
    </row>
    <row r="48">
      <c r="A48" s="9">
        <f> IVA que debemos pagar a la DIAN</f>
        <v/>
      </c>
      <c r="B48" s="10" t="n">
        <v>129839</v>
      </c>
    </row>
    <row r="50">
      <c r="A50" s="11" t="inlineStr">
        <is>
          <t>Del flete: como no pagamos IVA al señor, los $7.600</t>
        </is>
      </c>
    </row>
    <row r="51">
      <c r="A51" s="11" t="inlineStr">
        <is>
          <t>de IVA del flete van COMPLETOS a la DIAN.</t>
        </is>
      </c>
    </row>
    <row r="54">
      <c r="A54" s="3" t="inlineStr">
        <is>
          <t>═══════════════════════════════════════</t>
        </is>
      </c>
    </row>
    <row r="55">
      <c r="A55" s="2" t="inlineStr">
        <is>
          <t>5. RENTABILIDAD POR PRODUCTO</t>
        </is>
      </c>
    </row>
    <row r="56">
      <c r="A56" s="17" t="inlineStr">
        <is>
          <t>Producto</t>
        </is>
      </c>
      <c r="B56" s="17" t="inlineStr">
        <is>
          <t>Vendido</t>
        </is>
      </c>
      <c r="C56" s="17" t="inlineStr">
        <is>
          <t>Costó</t>
        </is>
      </c>
      <c r="D56" s="17" t="inlineStr">
        <is>
          <t>Ganancia</t>
        </is>
      </c>
      <c r="E56" s="17" t="inlineStr">
        <is>
          <t>Margen</t>
        </is>
      </c>
    </row>
    <row r="57">
      <c r="A57" s="3" t="inlineStr">
        <is>
          <t>Canasta Pequeña (60 und)</t>
        </is>
      </c>
      <c r="B57" s="5" t="n">
        <v>480000</v>
      </c>
      <c r="C57" s="5" t="n">
        <v>196639</v>
      </c>
      <c r="D57" s="13" t="n">
        <v>283361</v>
      </c>
      <c r="E57" s="16" t="inlineStr">
        <is>
          <t>59%</t>
        </is>
      </c>
    </row>
    <row r="58">
      <c r="A58" s="3" t="inlineStr">
        <is>
          <t>Canastilla Lisa (20 und)</t>
        </is>
      </c>
      <c r="B58" s="5" t="n">
        <v>760000</v>
      </c>
      <c r="C58" s="5" t="n">
        <v>400000</v>
      </c>
      <c r="D58" s="13" t="n">
        <v>360000</v>
      </c>
      <c r="E58" s="16" t="inlineStr">
        <is>
          <t>47%</t>
        </is>
      </c>
    </row>
    <row r="59">
      <c r="A59" s="3" t="inlineStr">
        <is>
          <t>Flete</t>
        </is>
      </c>
      <c r="B59" s="5" t="n">
        <v>40000</v>
      </c>
      <c r="C59" s="5" t="n">
        <v>60000</v>
      </c>
      <c r="D59" s="18" t="n">
        <v>-20000</v>
      </c>
      <c r="E59" s="12" t="inlineStr">
        <is>
          <t>-50%</t>
        </is>
      </c>
    </row>
    <row r="60">
      <c r="A60" s="6" t="inlineStr">
        <is>
          <t>TOTAL</t>
        </is>
      </c>
      <c r="B60" s="7" t="n">
        <v>1280000</v>
      </c>
      <c r="C60" s="7" t="n">
        <v>656639</v>
      </c>
      <c r="D60" s="7" t="n">
        <v>623361</v>
      </c>
      <c r="E60" s="2" t="inlineStr">
        <is>
          <t>48.7%</t>
        </is>
      </c>
    </row>
    <row r="63">
      <c r="A63" s="3" t="inlineStr">
        <is>
          <t>═══════════════════════════════════════</t>
        </is>
      </c>
    </row>
    <row r="64">
      <c r="A64" s="2" t="inlineStr">
        <is>
          <t>6. FLUJO REAL DE CAJA (QUÉ ENTRA Y SALE)</t>
        </is>
      </c>
    </row>
    <row r="66">
      <c r="A66" s="2" t="inlineStr">
        <is>
          <t>ENTRA a Bold:</t>
        </is>
      </c>
    </row>
    <row r="67">
      <c r="A67" s="3" t="inlineStr">
        <is>
          <t xml:space="preserve">  Pago de Evolti ($1.523.200 - retenciones $36.480)</t>
        </is>
      </c>
      <c r="B67" s="5" t="n">
        <v>1486720</v>
      </c>
    </row>
    <row r="69">
      <c r="A69" s="2" t="inlineStr">
        <is>
          <t>SALE de Bold:</t>
        </is>
      </c>
    </row>
    <row r="70">
      <c r="A70" s="3" t="inlineStr">
        <is>
          <t xml:space="preserve">  Compra El Palacio del Hogar</t>
        </is>
      </c>
      <c r="B70" s="5" t="n">
        <v>-234000</v>
      </c>
    </row>
    <row r="71">
      <c r="A71" s="3" t="inlineStr">
        <is>
          <t xml:space="preserve">  Compra La Bodega de los Tarros</t>
        </is>
      </c>
      <c r="B71" s="5" t="n">
        <v>-476000</v>
      </c>
    </row>
    <row r="72">
      <c r="A72" s="3" t="inlineStr">
        <is>
          <t xml:space="preserve">  Flete señor del camión</t>
        </is>
      </c>
      <c r="B72" s="5" t="n">
        <v>-60000</v>
      </c>
    </row>
    <row r="74">
      <c r="A74" s="2" t="inlineStr">
        <is>
          <t>QUEDA en la cuenta:</t>
        </is>
      </c>
      <c r="B74" s="19" t="n">
        <v>716720</v>
      </c>
    </row>
    <row r="76">
      <c r="A76" s="12" t="inlineStr">
        <is>
          <t>SEPARAR (impuestos, no tocar):</t>
        </is>
      </c>
    </row>
    <row r="77">
      <c r="A77" s="3" t="inlineStr">
        <is>
          <t xml:space="preserve">  IVA DIAN</t>
        </is>
      </c>
      <c r="B77" s="5" t="n">
        <v>-129839</v>
      </c>
    </row>
    <row r="78">
      <c r="A78" s="3" t="inlineStr">
        <is>
          <t xml:space="preserve">  Impuesto Simple pendiente</t>
        </is>
      </c>
      <c r="B78" s="5" t="n">
        <v>-27520</v>
      </c>
    </row>
    <row r="80">
      <c r="A80" s="14" t="inlineStr">
        <is>
          <t>GANANCIA NETA DISPONIBLE</t>
        </is>
      </c>
      <c r="B80" s="15" t="n">
        <v>559361</v>
      </c>
    </row>
    <row r="83">
      <c r="A83" s="3" t="inlineStr">
        <is>
          <t>═══════════════════════════════════════</t>
        </is>
      </c>
    </row>
    <row r="84">
      <c r="A84" s="2" t="inlineStr">
        <is>
          <t>7. LECCIONES APRENDIDAS</t>
        </is>
      </c>
    </row>
    <row r="86">
      <c r="A86" s="3" t="inlineStr">
        <is>
          <t>1. El flete nos dio pérdida de $20.000. Próxima vez cobrar $70.000+IVA mínimo.</t>
        </is>
      </c>
    </row>
    <row r="87">
      <c r="A87" s="3" t="inlineStr">
        <is>
          <t>2. Pedir cédula al transportador para hacer documento soporte (gasto deducible).</t>
        </is>
      </c>
    </row>
    <row r="88">
      <c r="A88" s="12" t="inlineStr">
        <is>
          <t>3. Separar $129.839 de IVA inmediatamente. NO TOCAR.</t>
        </is>
      </c>
    </row>
    <row r="89">
      <c r="A89" s="16" t="inlineStr">
        <is>
          <t>4. Margen promedio de 48.7% — excelente para una comercializadora.</t>
        </is>
      </c>
    </row>
    <row r="90">
      <c r="A90" s="3" t="inlineStr">
        <is>
          <t>5. La Canasta Pequeña (59% margen) es nuestro producto estrella.</t>
        </is>
      </c>
    </row>
    <row r="91">
      <c r="A91" s="20" t="inlineStr">
        <is>
          <t>6. PRIMERA VENTA DE ABASTECER EMPRESARIAL. ¡Lo logramos! 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2026-08-03T04:10:43Z</dcterms:created>
  <dcterms:modified xsi:type="dcterms:W3CDTF">2026-08-03T04:10:43Z</dcterms:modified>
</cp:coreProperties>
</file>